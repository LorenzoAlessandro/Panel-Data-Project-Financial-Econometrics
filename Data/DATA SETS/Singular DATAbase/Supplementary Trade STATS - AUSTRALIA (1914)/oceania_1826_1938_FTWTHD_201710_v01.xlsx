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472" windowWidth="18792" windowHeight="6096" tabRatio="740" firstSheet="1" activeTab="4"/>
  </bookViews>
  <sheets>
    <sheet name="Current prices, current borders" sheetId="1" r:id="rId1"/>
    <sheet name="Current prices, 1913 borders" sheetId="4" r:id="rId2"/>
    <sheet name="Constant prices, current border" sheetId="2" r:id="rId3"/>
    <sheet name="Constant prices, 1913 borders" sheetId="5" r:id="rId4"/>
    <sheet name="Summary" sheetId="3" r:id="rId5"/>
  </sheets>
  <calcPr calcId="152511"/>
</workbook>
</file>

<file path=xl/calcChain.xml><?xml version="1.0" encoding="utf-8"?>
<calcChain xmlns="http://schemas.openxmlformats.org/spreadsheetml/2006/main">
  <c r="AN145" i="1" l="1"/>
  <c r="AM145" i="1"/>
  <c r="AK145" i="1"/>
  <c r="AH145" i="1"/>
  <c r="AN144" i="1"/>
  <c r="AM144" i="1"/>
  <c r="AK144" i="1"/>
  <c r="AH144" i="1"/>
  <c r="AN143" i="1"/>
  <c r="AM143" i="1"/>
  <c r="AK143" i="1"/>
  <c r="AH143" i="1"/>
  <c r="AN142" i="1"/>
  <c r="AM142" i="1"/>
  <c r="AK142" i="1"/>
  <c r="AH142" i="1"/>
  <c r="AN141" i="1"/>
  <c r="AM141" i="1"/>
  <c r="AK141" i="1"/>
  <c r="AH141" i="1"/>
  <c r="AN140" i="1"/>
  <c r="AM140" i="1"/>
  <c r="AK140" i="1"/>
  <c r="AH140" i="1"/>
  <c r="AN139" i="1"/>
  <c r="AM139" i="1"/>
  <c r="AK139" i="1"/>
  <c r="AH139" i="1"/>
  <c r="AN138" i="1"/>
  <c r="AM138" i="1"/>
  <c r="AK138" i="1"/>
  <c r="AH138" i="1"/>
  <c r="AN137" i="1"/>
  <c r="AM137" i="1"/>
  <c r="AK137" i="1"/>
  <c r="AH137" i="1"/>
  <c r="AN136" i="1"/>
  <c r="AM136" i="1"/>
  <c r="AK136" i="1"/>
  <c r="AH136" i="1"/>
  <c r="AN135" i="1"/>
  <c r="AM135" i="1"/>
  <c r="AK135" i="1"/>
  <c r="AH135" i="1"/>
  <c r="AN134" i="1"/>
  <c r="AM134" i="1"/>
  <c r="AK134" i="1"/>
  <c r="AH134" i="1"/>
  <c r="AN133" i="1"/>
  <c r="AM133" i="1"/>
  <c r="AK133" i="1"/>
  <c r="AH133" i="1"/>
  <c r="AN132" i="1"/>
  <c r="AM132" i="1"/>
  <c r="AK132" i="1"/>
  <c r="AH132" i="1"/>
  <c r="AN131" i="1"/>
  <c r="AM131" i="1"/>
  <c r="AK131" i="1"/>
  <c r="AH131" i="1"/>
  <c r="AN130" i="1"/>
  <c r="AM130" i="1"/>
  <c r="AK130" i="1"/>
  <c r="AH130" i="1"/>
  <c r="AN129" i="1"/>
  <c r="AM129" i="1"/>
  <c r="AK129" i="1"/>
  <c r="AH129" i="1"/>
  <c r="AN128" i="1"/>
  <c r="AM128" i="1"/>
  <c r="AK128" i="1"/>
  <c r="AH128" i="1"/>
  <c r="AN127" i="1"/>
  <c r="AM127" i="1"/>
  <c r="AK127" i="1"/>
  <c r="AH127" i="1"/>
  <c r="AN126" i="1"/>
  <c r="AM126" i="1"/>
  <c r="AK126" i="1"/>
  <c r="AH126" i="1"/>
  <c r="AN125" i="1"/>
  <c r="AM125" i="1"/>
  <c r="AK125" i="1"/>
  <c r="AH125" i="1"/>
  <c r="AN124" i="1"/>
  <c r="AM124" i="1"/>
  <c r="AK124" i="1"/>
  <c r="AH124" i="1"/>
  <c r="AN123" i="1"/>
  <c r="AM123" i="1"/>
  <c r="AK123" i="1"/>
  <c r="AH123" i="1"/>
  <c r="AN122" i="1"/>
  <c r="AM122" i="1"/>
  <c r="AK122" i="1"/>
  <c r="AH122" i="1"/>
  <c r="AN121" i="1"/>
  <c r="AM121" i="1"/>
  <c r="AK121" i="1"/>
  <c r="AH121" i="1"/>
  <c r="AN120" i="1"/>
  <c r="AM120" i="1"/>
  <c r="AK120" i="1"/>
  <c r="AH120" i="1"/>
  <c r="AN119" i="1"/>
  <c r="AM119" i="1"/>
  <c r="AK119" i="1"/>
  <c r="AH119" i="1"/>
  <c r="AN118" i="1"/>
  <c r="AM118" i="1"/>
  <c r="AK118" i="1"/>
  <c r="AH118" i="1"/>
  <c r="AN117" i="1"/>
  <c r="AM117" i="1"/>
  <c r="AK117" i="1"/>
  <c r="AH117" i="1"/>
  <c r="AN116" i="1"/>
  <c r="AM116" i="1"/>
  <c r="AK116" i="1"/>
  <c r="AH116" i="1"/>
  <c r="AN115" i="1"/>
  <c r="AM115" i="1"/>
  <c r="AK115" i="1"/>
  <c r="AH115" i="1"/>
  <c r="AN114" i="1"/>
  <c r="AM114" i="1"/>
  <c r="AK114" i="1"/>
  <c r="AH114" i="1"/>
  <c r="AN113" i="1"/>
  <c r="AM113" i="1"/>
  <c r="AK113" i="1"/>
  <c r="AH113" i="1"/>
  <c r="AN112" i="1"/>
  <c r="AM112" i="1"/>
  <c r="AK112" i="1"/>
  <c r="AH112" i="1"/>
  <c r="AN111" i="1"/>
  <c r="AM111" i="1"/>
  <c r="AK111" i="1"/>
  <c r="AH111" i="1"/>
  <c r="AN110" i="1"/>
  <c r="AM110" i="1"/>
  <c r="AK110" i="1"/>
  <c r="AH110" i="1"/>
  <c r="AN109" i="1"/>
  <c r="AM109" i="1"/>
  <c r="AK109" i="1"/>
  <c r="AH109" i="1"/>
  <c r="AN108" i="1"/>
  <c r="AM108" i="1"/>
  <c r="AK108" i="1"/>
  <c r="AH108" i="1"/>
  <c r="AN107" i="1"/>
  <c r="AM107" i="1"/>
  <c r="AH107" i="1"/>
  <c r="AN106" i="1"/>
  <c r="AM106" i="1"/>
  <c r="AH106" i="1"/>
  <c r="AN105" i="1"/>
  <c r="AM105" i="1"/>
  <c r="AH105" i="1"/>
  <c r="AN104" i="1"/>
  <c r="AM104" i="1"/>
  <c r="AH104" i="1"/>
  <c r="AN103" i="1"/>
  <c r="AM103" i="1"/>
  <c r="AH103" i="1"/>
  <c r="AN102" i="1"/>
  <c r="AM102" i="1"/>
  <c r="AH102" i="1"/>
  <c r="AN101" i="1"/>
  <c r="AM101" i="1"/>
  <c r="AH101" i="1"/>
  <c r="AN100" i="1"/>
  <c r="AM100" i="1"/>
  <c r="AH100" i="1"/>
  <c r="AN99" i="1"/>
  <c r="AM99" i="1"/>
  <c r="AH99" i="1"/>
  <c r="AN98" i="1"/>
  <c r="AM98" i="1"/>
  <c r="AH98" i="1"/>
  <c r="AN97" i="1"/>
  <c r="AM97" i="1"/>
  <c r="AH97" i="1"/>
  <c r="AN96" i="1"/>
  <c r="AM96" i="1"/>
  <c r="AH96" i="1"/>
  <c r="AN95" i="1"/>
  <c r="AM95" i="1"/>
  <c r="AH95" i="1"/>
  <c r="AN94" i="1"/>
  <c r="AM94" i="1"/>
  <c r="AH94" i="1"/>
  <c r="AN93" i="1"/>
  <c r="AM93" i="1"/>
  <c r="AH93" i="1"/>
  <c r="AN92" i="1"/>
  <c r="AM92" i="1"/>
  <c r="AH92" i="1"/>
  <c r="AN91" i="1"/>
  <c r="AM91" i="1"/>
  <c r="AH91" i="1"/>
  <c r="AN90" i="1"/>
  <c r="AM90" i="1"/>
  <c r="AH90" i="1"/>
  <c r="AN89" i="1"/>
  <c r="AM89" i="1"/>
  <c r="AH89" i="1"/>
  <c r="AN88" i="1"/>
  <c r="AM88" i="1"/>
  <c r="AH88" i="1"/>
  <c r="AN87" i="1"/>
  <c r="AM87" i="1"/>
  <c r="AH87" i="1"/>
  <c r="AN86" i="1"/>
  <c r="AM86" i="1"/>
  <c r="AH86" i="1"/>
  <c r="AN85" i="1"/>
  <c r="AM85" i="1"/>
  <c r="AH85" i="1"/>
  <c r="AN84" i="1"/>
  <c r="AM84" i="1"/>
  <c r="AH84" i="1"/>
  <c r="AN83" i="1"/>
  <c r="AM83" i="1"/>
  <c r="AH83" i="1"/>
  <c r="AN82" i="1"/>
  <c r="AM82" i="1"/>
  <c r="AH82" i="1"/>
  <c r="AN81" i="1"/>
  <c r="AM81" i="1"/>
  <c r="AH81" i="1"/>
  <c r="AN80" i="1"/>
  <c r="AM80" i="1"/>
  <c r="AH80" i="1"/>
  <c r="AN79" i="1"/>
  <c r="AM79" i="1"/>
  <c r="AH79" i="1"/>
  <c r="AN78" i="1"/>
  <c r="AM78" i="1"/>
  <c r="AH78" i="1"/>
  <c r="AN77" i="1"/>
  <c r="AM77" i="1"/>
  <c r="AH77" i="1"/>
  <c r="AN76" i="1"/>
  <c r="AM76" i="1"/>
  <c r="AH76" i="1"/>
  <c r="AN75" i="1"/>
  <c r="AM75" i="1"/>
  <c r="AH75" i="1"/>
  <c r="AN74" i="1"/>
  <c r="AM74" i="1"/>
  <c r="AH74" i="1"/>
  <c r="AN73" i="1"/>
  <c r="AM73" i="1"/>
  <c r="AH73" i="1"/>
  <c r="AN72" i="1"/>
  <c r="AM72" i="1"/>
  <c r="AH72" i="1"/>
  <c r="AN71" i="1"/>
  <c r="AM71" i="1"/>
  <c r="AH71" i="1"/>
  <c r="AN70" i="1"/>
  <c r="AM70" i="1"/>
  <c r="AH70" i="1"/>
  <c r="AN69" i="1"/>
  <c r="AM69" i="1"/>
  <c r="AH69" i="1"/>
  <c r="AN68" i="1"/>
  <c r="AM68" i="1"/>
  <c r="AH68" i="1"/>
  <c r="AN67" i="1"/>
  <c r="AM67" i="1"/>
  <c r="AH67" i="1"/>
  <c r="AN66" i="1"/>
  <c r="AM66" i="1"/>
  <c r="AH66" i="1"/>
  <c r="AN65" i="1"/>
  <c r="AM65" i="1"/>
  <c r="AH65" i="1"/>
  <c r="AN64" i="1"/>
  <c r="AM64" i="1"/>
  <c r="AH64" i="1"/>
  <c r="AN63" i="1"/>
  <c r="AM63" i="1"/>
  <c r="AH63" i="1"/>
  <c r="AN62" i="1"/>
  <c r="AM62" i="1"/>
  <c r="AH62" i="1"/>
  <c r="AN61" i="1"/>
  <c r="AM61" i="1"/>
  <c r="AH61" i="1"/>
  <c r="AN60" i="1"/>
  <c r="AM60" i="1"/>
  <c r="AH60" i="1"/>
  <c r="AN59" i="1"/>
  <c r="AM59" i="1"/>
  <c r="AH59" i="1"/>
  <c r="AN58" i="1"/>
  <c r="AM58" i="1"/>
  <c r="AH58" i="1"/>
  <c r="AN57" i="1"/>
  <c r="AM57" i="1"/>
  <c r="AH57" i="1"/>
  <c r="AN56" i="1"/>
  <c r="AM56" i="1"/>
  <c r="AJ56" i="1"/>
  <c r="AI56" i="1"/>
  <c r="AH56" i="1"/>
  <c r="AG56" i="1"/>
  <c r="AN55" i="1"/>
  <c r="AM55" i="1"/>
  <c r="AJ55" i="1"/>
  <c r="AI55" i="1"/>
  <c r="AH55" i="1"/>
  <c r="AG55" i="1"/>
  <c r="AN54" i="1"/>
  <c r="AM54" i="1"/>
  <c r="AJ54" i="1"/>
  <c r="AI54" i="1"/>
  <c r="AH54" i="1"/>
  <c r="AG54" i="1"/>
  <c r="AN53" i="1"/>
  <c r="AM53" i="1"/>
  <c r="AJ53" i="1"/>
  <c r="AI53" i="1"/>
  <c r="AH53" i="1"/>
  <c r="AG53" i="1"/>
  <c r="AN52" i="1"/>
  <c r="AM52" i="1"/>
  <c r="AJ52" i="1"/>
  <c r="AI52" i="1"/>
  <c r="AH52" i="1"/>
  <c r="AG52" i="1"/>
  <c r="AN51" i="1"/>
  <c r="AM51" i="1"/>
  <c r="AJ51" i="1"/>
  <c r="AI51" i="1"/>
  <c r="AH51" i="1"/>
  <c r="AG51" i="1"/>
  <c r="AN50" i="1"/>
  <c r="AM50" i="1"/>
  <c r="AJ50" i="1"/>
  <c r="AI50" i="1"/>
  <c r="AH50" i="1"/>
  <c r="AG50" i="1"/>
  <c r="AN49" i="1"/>
  <c r="AM49" i="1"/>
  <c r="AJ49" i="1"/>
  <c r="AI49" i="1"/>
  <c r="AH49" i="1"/>
  <c r="AG49" i="1"/>
  <c r="AN48" i="1"/>
  <c r="AM48" i="1"/>
  <c r="AJ48" i="1"/>
  <c r="AI48" i="1"/>
  <c r="AH48" i="1"/>
  <c r="AG48" i="1"/>
  <c r="AN47" i="1"/>
  <c r="AM47" i="1"/>
  <c r="AJ47" i="1"/>
  <c r="AI47" i="1"/>
  <c r="AH47" i="1"/>
  <c r="AG47" i="1"/>
  <c r="AN46" i="1"/>
  <c r="AM46" i="1"/>
  <c r="AJ46" i="1"/>
  <c r="AI46" i="1"/>
  <c r="AH46" i="1"/>
  <c r="AG46" i="1"/>
  <c r="AN45" i="1"/>
  <c r="AM45" i="1"/>
  <c r="AJ45" i="1"/>
  <c r="AI45" i="1"/>
  <c r="AH45" i="1"/>
  <c r="AG45" i="1"/>
  <c r="AN44" i="1"/>
  <c r="AM44" i="1"/>
  <c r="AJ44" i="1"/>
  <c r="AI44" i="1"/>
  <c r="AH44" i="1"/>
  <c r="AG44" i="1"/>
  <c r="AN43" i="1"/>
  <c r="AM43" i="1"/>
  <c r="AJ43" i="1"/>
  <c r="AI43" i="1"/>
  <c r="AH43" i="1"/>
  <c r="AG43" i="1"/>
  <c r="AN42" i="1"/>
  <c r="AM42" i="1"/>
  <c r="AJ42" i="1"/>
  <c r="AI42" i="1"/>
  <c r="AH42" i="1"/>
  <c r="AG42" i="1"/>
  <c r="AN41" i="1"/>
  <c r="AM41" i="1"/>
  <c r="AJ41" i="1"/>
  <c r="AI41" i="1"/>
  <c r="AH41" i="1"/>
  <c r="AG41" i="1"/>
  <c r="AN40" i="1"/>
  <c r="AM40" i="1"/>
  <c r="AJ40" i="1"/>
  <c r="AI40" i="1"/>
  <c r="AH40" i="1"/>
  <c r="AG40" i="1"/>
  <c r="AN39" i="1"/>
  <c r="AM39" i="1"/>
  <c r="AJ39" i="1"/>
  <c r="AI39" i="1"/>
  <c r="AH39" i="1"/>
  <c r="AG39" i="1"/>
  <c r="AN38" i="1"/>
  <c r="AM38" i="1"/>
  <c r="AJ38" i="1"/>
  <c r="AI38" i="1"/>
  <c r="AH38" i="1"/>
  <c r="AG38" i="1"/>
  <c r="AN37" i="1"/>
  <c r="AM37" i="1"/>
  <c r="AJ37" i="1"/>
  <c r="AI37" i="1"/>
  <c r="AH37" i="1"/>
  <c r="AG37" i="1"/>
  <c r="AN36" i="1"/>
  <c r="AM36" i="1"/>
  <c r="AJ36" i="1"/>
  <c r="AI36" i="1"/>
  <c r="AH36" i="1"/>
  <c r="AG36" i="1"/>
  <c r="AN35" i="1"/>
  <c r="AM35" i="1"/>
  <c r="AJ35" i="1"/>
  <c r="AI35" i="1"/>
  <c r="AH35" i="1"/>
  <c r="AG35" i="1"/>
  <c r="AN34" i="1"/>
  <c r="AM34" i="1"/>
  <c r="AJ34" i="1"/>
  <c r="AI34" i="1"/>
  <c r="AH34" i="1"/>
  <c r="AG34" i="1"/>
  <c r="AN33" i="1"/>
  <c r="AM33" i="1"/>
  <c r="AJ33" i="1"/>
  <c r="AI33" i="1"/>
  <c r="AH33" i="1"/>
  <c r="AG33" i="1"/>
  <c r="AD145" i="1"/>
  <c r="AC145" i="1"/>
  <c r="AA145" i="1"/>
  <c r="X145" i="1"/>
  <c r="AD144" i="1"/>
  <c r="AC144" i="1"/>
  <c r="AA144" i="1"/>
  <c r="X144" i="1"/>
  <c r="AD143" i="1"/>
  <c r="AC143" i="1"/>
  <c r="AA143" i="1"/>
  <c r="X143" i="1"/>
  <c r="AD142" i="1"/>
  <c r="AC142" i="1"/>
  <c r="AA142" i="1"/>
  <c r="X142" i="1"/>
  <c r="AD141" i="1"/>
  <c r="AC141" i="1"/>
  <c r="AA141" i="1"/>
  <c r="X141" i="1"/>
  <c r="AD140" i="1"/>
  <c r="AC140" i="1"/>
  <c r="AA140" i="1"/>
  <c r="X140" i="1"/>
  <c r="AD139" i="1"/>
  <c r="AC139" i="1"/>
  <c r="AA139" i="1"/>
  <c r="X139" i="1"/>
  <c r="AD138" i="1"/>
  <c r="AC138" i="1"/>
  <c r="AA138" i="1"/>
  <c r="X138" i="1"/>
  <c r="AD137" i="1"/>
  <c r="AC137" i="1"/>
  <c r="AA137" i="1"/>
  <c r="X137" i="1"/>
  <c r="AD136" i="1"/>
  <c r="AC136" i="1"/>
  <c r="AA136" i="1"/>
  <c r="X136" i="1"/>
  <c r="AD135" i="1"/>
  <c r="AC135" i="1"/>
  <c r="AA135" i="1"/>
  <c r="X135" i="1"/>
  <c r="AD134" i="1"/>
  <c r="AC134" i="1"/>
  <c r="AA134" i="1"/>
  <c r="X134" i="1"/>
  <c r="AD133" i="1"/>
  <c r="AC133" i="1"/>
  <c r="AA133" i="1"/>
  <c r="X133" i="1"/>
  <c r="AD132" i="1"/>
  <c r="AC132" i="1"/>
  <c r="AA132" i="1"/>
  <c r="X132" i="1"/>
  <c r="AD131" i="1"/>
  <c r="AC131" i="1"/>
  <c r="AA131" i="1"/>
  <c r="X131" i="1"/>
  <c r="AD130" i="1"/>
  <c r="AC130" i="1"/>
  <c r="AA130" i="1"/>
  <c r="X130" i="1"/>
  <c r="AD129" i="1"/>
  <c r="AC129" i="1"/>
  <c r="AA129" i="1"/>
  <c r="X129" i="1"/>
  <c r="AD128" i="1"/>
  <c r="AC128" i="1"/>
  <c r="AA128" i="1"/>
  <c r="X128" i="1"/>
  <c r="AD127" i="1"/>
  <c r="AC127" i="1"/>
  <c r="AA127" i="1"/>
  <c r="X127" i="1"/>
  <c r="AD126" i="1"/>
  <c r="AC126" i="1"/>
  <c r="AA126" i="1"/>
  <c r="X126" i="1"/>
  <c r="AD125" i="1"/>
  <c r="AC125" i="1"/>
  <c r="AA125" i="1"/>
  <c r="X125" i="1"/>
  <c r="AD124" i="1"/>
  <c r="AC124" i="1"/>
  <c r="AA124" i="1"/>
  <c r="X124" i="1"/>
  <c r="AD123" i="1"/>
  <c r="AC123" i="1"/>
  <c r="AA123" i="1"/>
  <c r="X123" i="1"/>
  <c r="AD122" i="1"/>
  <c r="AC122" i="1"/>
  <c r="AA122" i="1"/>
  <c r="X122" i="1"/>
  <c r="AD121" i="1"/>
  <c r="AC121" i="1"/>
  <c r="AA121" i="1"/>
  <c r="X121" i="1"/>
  <c r="AD120" i="1"/>
  <c r="AC120" i="1"/>
  <c r="AA120" i="1"/>
  <c r="X120" i="1"/>
  <c r="AD119" i="1"/>
  <c r="AC119" i="1"/>
  <c r="AA119" i="1"/>
  <c r="X119" i="1"/>
  <c r="AD118" i="1"/>
  <c r="AC118" i="1"/>
  <c r="AA118" i="1"/>
  <c r="X118" i="1"/>
  <c r="AD117" i="1"/>
  <c r="AC117" i="1"/>
  <c r="AA117" i="1"/>
  <c r="X117" i="1"/>
  <c r="AD116" i="1"/>
  <c r="AC116" i="1"/>
  <c r="AA116" i="1"/>
  <c r="X116" i="1"/>
  <c r="AD115" i="1"/>
  <c r="AC115" i="1"/>
  <c r="AA115" i="1"/>
  <c r="X115" i="1"/>
  <c r="AD114" i="1"/>
  <c r="AC114" i="1"/>
  <c r="AA114" i="1"/>
  <c r="X114" i="1"/>
  <c r="AD113" i="1"/>
  <c r="AC113" i="1"/>
  <c r="AA113" i="1"/>
  <c r="X113" i="1"/>
  <c r="AD112" i="1"/>
  <c r="AC112" i="1"/>
  <c r="AA112" i="1"/>
  <c r="X112" i="1"/>
  <c r="AD111" i="1"/>
  <c r="AC111" i="1"/>
  <c r="AA111" i="1"/>
  <c r="X111" i="1"/>
  <c r="AD110" i="1"/>
  <c r="AC110" i="1"/>
  <c r="AA110" i="1"/>
  <c r="X110" i="1"/>
  <c r="AD109" i="1"/>
  <c r="AC109" i="1"/>
  <c r="AA109" i="1"/>
  <c r="X109" i="1"/>
  <c r="AD108" i="1"/>
  <c r="AC108" i="1"/>
  <c r="AA108" i="1"/>
  <c r="X108" i="1"/>
  <c r="AD107" i="1"/>
  <c r="AC107" i="1"/>
  <c r="X107" i="1"/>
  <c r="AD106" i="1"/>
  <c r="AC106" i="1"/>
  <c r="X106" i="1"/>
  <c r="AD105" i="1"/>
  <c r="AC105" i="1"/>
  <c r="X105" i="1"/>
  <c r="AD104" i="1"/>
  <c r="AC104" i="1"/>
  <c r="X104" i="1"/>
  <c r="AD103" i="1"/>
  <c r="AC103" i="1"/>
  <c r="X103" i="1"/>
  <c r="AD102" i="1"/>
  <c r="AC102" i="1"/>
  <c r="X102" i="1"/>
  <c r="AD101" i="1"/>
  <c r="AC101" i="1"/>
  <c r="X101" i="1"/>
  <c r="AD100" i="1"/>
  <c r="AC100" i="1"/>
  <c r="X100" i="1"/>
  <c r="AD99" i="1"/>
  <c r="AC99" i="1"/>
  <c r="X99" i="1"/>
  <c r="AD98" i="1"/>
  <c r="AC98" i="1"/>
  <c r="X98" i="1"/>
  <c r="AD97" i="1"/>
  <c r="AC97" i="1"/>
  <c r="X97" i="1"/>
  <c r="AD96" i="1"/>
  <c r="AC96" i="1"/>
  <c r="X96" i="1"/>
  <c r="AD95" i="1"/>
  <c r="AC95" i="1"/>
  <c r="X95" i="1"/>
  <c r="AD94" i="1"/>
  <c r="AC94" i="1"/>
  <c r="X94" i="1"/>
  <c r="AD93" i="1"/>
  <c r="AC93" i="1"/>
  <c r="X93" i="1"/>
  <c r="AD92" i="1"/>
  <c r="AC92" i="1"/>
  <c r="X92" i="1"/>
  <c r="AD91" i="1"/>
  <c r="AC91" i="1"/>
  <c r="X91" i="1"/>
  <c r="AD90" i="1"/>
  <c r="AC90" i="1"/>
  <c r="X90" i="1"/>
  <c r="AD89" i="1"/>
  <c r="AC89" i="1"/>
  <c r="X89" i="1"/>
  <c r="AD88" i="1"/>
  <c r="AC88" i="1"/>
  <c r="X88" i="1"/>
  <c r="AD87" i="1"/>
  <c r="AC87" i="1"/>
  <c r="X87" i="1"/>
  <c r="AD86" i="1"/>
  <c r="AC86" i="1"/>
  <c r="X86" i="1"/>
  <c r="AD85" i="1"/>
  <c r="AC85" i="1"/>
  <c r="X85" i="1"/>
  <c r="AD84" i="1"/>
  <c r="AC84" i="1"/>
  <c r="X84" i="1"/>
  <c r="AD83" i="1"/>
  <c r="AC83" i="1"/>
  <c r="X83" i="1"/>
  <c r="AD82" i="1"/>
  <c r="AC82" i="1"/>
  <c r="X82" i="1"/>
  <c r="AD81" i="1"/>
  <c r="AC81" i="1"/>
  <c r="X81" i="1"/>
  <c r="AD80" i="1"/>
  <c r="AC80" i="1"/>
  <c r="X80" i="1"/>
  <c r="AD79" i="1"/>
  <c r="AC79" i="1"/>
  <c r="X79" i="1"/>
  <c r="AD78" i="1"/>
  <c r="AC78" i="1"/>
  <c r="X78" i="1"/>
  <c r="AD77" i="1"/>
  <c r="AC77" i="1"/>
  <c r="X77" i="1"/>
  <c r="AD76" i="1"/>
  <c r="AC76" i="1"/>
  <c r="X76" i="1"/>
  <c r="AD75" i="1"/>
  <c r="AC75" i="1"/>
  <c r="X75" i="1"/>
  <c r="AD74" i="1"/>
  <c r="AC74" i="1"/>
  <c r="X74" i="1"/>
  <c r="AD73" i="1"/>
  <c r="AC73" i="1"/>
  <c r="X73" i="1"/>
  <c r="AD72" i="1"/>
  <c r="AC72" i="1"/>
  <c r="X72" i="1"/>
  <c r="AD71" i="1"/>
  <c r="AC71" i="1"/>
  <c r="X71" i="1"/>
  <c r="AD70" i="1"/>
  <c r="AC70" i="1"/>
  <c r="X70" i="1"/>
  <c r="AD69" i="1"/>
  <c r="AC69" i="1"/>
  <c r="X69" i="1"/>
  <c r="AD68" i="1"/>
  <c r="AC68" i="1"/>
  <c r="X68" i="1"/>
  <c r="AD67" i="1"/>
  <c r="AC67" i="1"/>
  <c r="X67" i="1"/>
  <c r="AD66" i="1"/>
  <c r="AC66" i="1"/>
  <c r="X66" i="1"/>
  <c r="AD65" i="1"/>
  <c r="AC65" i="1"/>
  <c r="X65" i="1"/>
  <c r="AD64" i="1"/>
  <c r="AC64" i="1"/>
  <c r="X64" i="1"/>
  <c r="AD63" i="1"/>
  <c r="AC63" i="1"/>
  <c r="X63" i="1"/>
  <c r="AD62" i="1"/>
  <c r="AC62" i="1"/>
  <c r="X62" i="1"/>
  <c r="AD61" i="1"/>
  <c r="AC61" i="1"/>
  <c r="X61" i="1"/>
  <c r="AD60" i="1"/>
  <c r="AC60" i="1"/>
  <c r="X60" i="1"/>
  <c r="AD59" i="1"/>
  <c r="AC59" i="1"/>
  <c r="X59" i="1"/>
  <c r="AD58" i="1"/>
  <c r="AC58" i="1"/>
  <c r="X58" i="1"/>
  <c r="AD57" i="1"/>
  <c r="AC57" i="1"/>
  <c r="X57" i="1"/>
  <c r="AD56" i="1"/>
  <c r="AC56" i="1"/>
  <c r="AB56" i="1"/>
  <c r="AA56" i="1"/>
  <c r="Z56" i="1"/>
  <c r="Y56" i="1"/>
  <c r="X56" i="1"/>
  <c r="W56" i="1"/>
  <c r="AD55" i="1"/>
  <c r="AC55" i="1"/>
  <c r="AB55" i="1"/>
  <c r="AA55" i="1"/>
  <c r="Z55" i="1"/>
  <c r="Y55" i="1"/>
  <c r="X55" i="1"/>
  <c r="W55" i="1"/>
  <c r="AD54" i="1"/>
  <c r="AC54" i="1"/>
  <c r="AB54" i="1"/>
  <c r="AA54" i="1"/>
  <c r="Z54" i="1"/>
  <c r="Y54" i="1"/>
  <c r="X54" i="1"/>
  <c r="W54" i="1"/>
  <c r="AD53" i="1"/>
  <c r="AC53" i="1"/>
  <c r="AB53" i="1"/>
  <c r="AA53" i="1"/>
  <c r="Z53" i="1"/>
  <c r="Y53" i="1"/>
  <c r="X53" i="1"/>
  <c r="W53" i="1"/>
  <c r="AD52" i="1"/>
  <c r="AC52" i="1"/>
  <c r="AB52" i="1"/>
  <c r="AA52" i="1"/>
  <c r="Z52" i="1"/>
  <c r="Y52" i="1"/>
  <c r="X52" i="1"/>
  <c r="W52" i="1"/>
  <c r="AD51" i="1"/>
  <c r="AC51" i="1"/>
  <c r="AB51" i="1"/>
  <c r="AA51" i="1"/>
  <c r="Z51" i="1"/>
  <c r="Y51" i="1"/>
  <c r="X51" i="1"/>
  <c r="W51" i="1"/>
  <c r="AD50" i="1"/>
  <c r="AC50" i="1"/>
  <c r="AB50" i="1"/>
  <c r="AA50" i="1"/>
  <c r="Z50" i="1"/>
  <c r="Y50" i="1"/>
  <c r="X50" i="1"/>
  <c r="W50" i="1"/>
  <c r="AD49" i="1"/>
  <c r="AC49" i="1"/>
  <c r="AB49" i="1"/>
  <c r="AA49" i="1"/>
  <c r="Z49" i="1"/>
  <c r="Y49" i="1"/>
  <c r="X49" i="1"/>
  <c r="W49" i="1"/>
  <c r="AD48" i="1"/>
  <c r="AC48" i="1"/>
  <c r="AB48" i="1"/>
  <c r="AA48" i="1"/>
  <c r="Z48" i="1"/>
  <c r="Y48" i="1"/>
  <c r="X48" i="1"/>
  <c r="W48" i="1"/>
  <c r="AD47" i="1"/>
  <c r="AC47" i="1"/>
  <c r="AB47" i="1"/>
  <c r="AA47" i="1"/>
  <c r="Z47" i="1"/>
  <c r="Y47" i="1"/>
  <c r="X47" i="1"/>
  <c r="W47" i="1"/>
  <c r="AD46" i="1"/>
  <c r="AC46" i="1"/>
  <c r="AB46" i="1"/>
  <c r="AA46" i="1"/>
  <c r="Z46" i="1"/>
  <c r="Y46" i="1"/>
  <c r="X46" i="1"/>
  <c r="W46" i="1"/>
  <c r="AD45" i="1"/>
  <c r="AC45" i="1"/>
  <c r="AB45" i="1"/>
  <c r="AA45" i="1"/>
  <c r="Z45" i="1"/>
  <c r="Y45" i="1"/>
  <c r="X45" i="1"/>
  <c r="W45" i="1"/>
  <c r="AD44" i="1"/>
  <c r="AC44" i="1"/>
  <c r="AB44" i="1"/>
  <c r="AA44" i="1"/>
  <c r="Z44" i="1"/>
  <c r="Y44" i="1"/>
  <c r="X44" i="1"/>
  <c r="W44" i="1"/>
  <c r="AD43" i="1"/>
  <c r="AC43" i="1"/>
  <c r="AB43" i="1"/>
  <c r="AA43" i="1"/>
  <c r="Z43" i="1"/>
  <c r="Y43" i="1"/>
  <c r="X43" i="1"/>
  <c r="W43" i="1"/>
  <c r="AD42" i="1"/>
  <c r="AC42" i="1"/>
  <c r="AB42" i="1"/>
  <c r="AA42" i="1"/>
  <c r="Z42" i="1"/>
  <c r="Y42" i="1"/>
  <c r="X42" i="1"/>
  <c r="W42" i="1"/>
  <c r="AD41" i="1"/>
  <c r="AC41" i="1"/>
  <c r="AB41" i="1"/>
  <c r="AA41" i="1"/>
  <c r="Z41" i="1"/>
  <c r="Y41" i="1"/>
  <c r="X41" i="1"/>
  <c r="W41" i="1"/>
  <c r="AD40" i="1"/>
  <c r="AC40" i="1"/>
  <c r="AB40" i="1"/>
  <c r="AA40" i="1"/>
  <c r="Z40" i="1"/>
  <c r="Y40" i="1"/>
  <c r="X40" i="1"/>
  <c r="W40" i="1"/>
  <c r="AD39" i="1"/>
  <c r="AC39" i="1"/>
  <c r="AB39" i="1"/>
  <c r="AA39" i="1"/>
  <c r="Z39" i="1"/>
  <c r="Y39" i="1"/>
  <c r="X39" i="1"/>
  <c r="W39" i="1"/>
  <c r="AD38" i="1"/>
  <c r="AC38" i="1"/>
  <c r="AB38" i="1"/>
  <c r="AA38" i="1"/>
  <c r="Z38" i="1"/>
  <c r="Y38" i="1"/>
  <c r="X38" i="1"/>
  <c r="W38" i="1"/>
  <c r="AD37" i="1"/>
  <c r="AC37" i="1"/>
  <c r="AB37" i="1"/>
  <c r="AA37" i="1"/>
  <c r="Z37" i="1"/>
  <c r="Y37" i="1"/>
  <c r="X37" i="1"/>
  <c r="W37" i="1"/>
  <c r="AD36" i="1"/>
  <c r="AC36" i="1"/>
  <c r="AB36" i="1"/>
  <c r="AA36" i="1"/>
  <c r="Z36" i="1"/>
  <c r="Y36" i="1"/>
  <c r="X36" i="1"/>
  <c r="W36" i="1"/>
  <c r="AD35" i="1"/>
  <c r="AC35" i="1"/>
  <c r="AB35" i="1"/>
  <c r="AA35" i="1"/>
  <c r="Z35" i="1"/>
  <c r="Y35" i="1"/>
  <c r="X35" i="1"/>
  <c r="W35" i="1"/>
  <c r="AD34" i="1"/>
  <c r="AC34" i="1"/>
  <c r="AB34" i="1"/>
  <c r="AA34" i="1"/>
  <c r="Z34" i="1"/>
  <c r="Y34" i="1"/>
  <c r="X34" i="1"/>
  <c r="W34" i="1"/>
  <c r="AD33" i="1"/>
  <c r="AC33" i="1"/>
  <c r="AB33" i="1"/>
  <c r="AA33" i="1"/>
  <c r="Z33" i="1"/>
  <c r="Y33" i="1"/>
  <c r="X33" i="1"/>
  <c r="W33" i="1"/>
  <c r="AL35" i="1" l="1"/>
  <c r="AL34" i="1"/>
  <c r="AL33" i="1"/>
  <c r="AL36" i="1"/>
  <c r="AI57" i="1"/>
  <c r="AI58" i="1"/>
  <c r="AI59" i="1"/>
  <c r="AI60" i="1"/>
  <c r="AI61" i="1"/>
  <c r="AI62" i="1"/>
  <c r="AI63" i="1"/>
  <c r="AI64" i="1"/>
  <c r="AI65" i="1"/>
  <c r="AI66" i="1"/>
  <c r="AI67" i="1"/>
  <c r="AI68" i="1"/>
  <c r="AI69" i="1"/>
  <c r="AI70" i="1"/>
  <c r="AI71" i="1"/>
  <c r="AI72" i="1"/>
  <c r="AI73" i="1"/>
  <c r="AI74" i="1"/>
  <c r="AI75" i="1"/>
  <c r="AI76" i="1"/>
  <c r="AI77" i="1"/>
  <c r="AI78" i="1"/>
  <c r="AI79" i="1"/>
  <c r="AI80" i="1"/>
  <c r="AI81" i="1"/>
  <c r="AI82" i="1"/>
  <c r="AI83" i="1"/>
  <c r="AI84" i="1"/>
  <c r="AI85" i="1"/>
  <c r="AI86" i="1"/>
  <c r="AI87" i="1"/>
  <c r="AI88" i="1"/>
  <c r="AI89" i="1"/>
  <c r="AI90" i="1"/>
  <c r="AI91" i="1"/>
  <c r="AI92" i="1"/>
  <c r="AI93" i="1"/>
  <c r="AI94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I109" i="1"/>
  <c r="AI110" i="1"/>
  <c r="AI111" i="1"/>
  <c r="AI112" i="1"/>
  <c r="AI113" i="1"/>
  <c r="AI114" i="1"/>
  <c r="AI115" i="1"/>
  <c r="AI116" i="1"/>
  <c r="AI117" i="1"/>
  <c r="AI118" i="1"/>
  <c r="AI119" i="1"/>
  <c r="AI120" i="1"/>
  <c r="AI121" i="1"/>
  <c r="AI122" i="1"/>
  <c r="AI123" i="1"/>
  <c r="AI124" i="1"/>
  <c r="AI125" i="1"/>
  <c r="AI126" i="1"/>
  <c r="AI127" i="1"/>
  <c r="AI128" i="1"/>
  <c r="AI129" i="1"/>
  <c r="AI130" i="1"/>
  <c r="AI131" i="1"/>
  <c r="AI132" i="1"/>
  <c r="AI133" i="1"/>
  <c r="AI134" i="1"/>
  <c r="AI135" i="1"/>
  <c r="AI136" i="1"/>
  <c r="AI137" i="1"/>
  <c r="AI138" i="1"/>
  <c r="AI139" i="1"/>
  <c r="AI140" i="1"/>
  <c r="AI141" i="1"/>
  <c r="AI142" i="1"/>
  <c r="AI143" i="1"/>
  <c r="AI144" i="1"/>
  <c r="AI145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AG57" i="1" l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AJ106" i="1" l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AD145" i="2" l="1"/>
  <c r="AB145" i="2"/>
  <c r="AA145" i="2"/>
  <c r="Y145" i="2"/>
  <c r="X145" i="2"/>
  <c r="AD144" i="2"/>
  <c r="AB144" i="2"/>
  <c r="AA144" i="2"/>
  <c r="Y144" i="2"/>
  <c r="X144" i="2"/>
  <c r="AD143" i="2"/>
  <c r="AB143" i="2"/>
  <c r="AA143" i="2"/>
  <c r="Y143" i="2"/>
  <c r="X143" i="2"/>
  <c r="AD142" i="2"/>
  <c r="AB142" i="2"/>
  <c r="AA142" i="2"/>
  <c r="Y142" i="2"/>
  <c r="X142" i="2"/>
  <c r="AD141" i="2"/>
  <c r="AB141" i="2"/>
  <c r="AA141" i="2"/>
  <c r="Y141" i="2"/>
  <c r="X141" i="2"/>
  <c r="AD140" i="2"/>
  <c r="AB140" i="2"/>
  <c r="AA140" i="2"/>
  <c r="Y140" i="2"/>
  <c r="X140" i="2"/>
  <c r="AD139" i="2"/>
  <c r="AB139" i="2"/>
  <c r="AA139" i="2"/>
  <c r="Y139" i="2"/>
  <c r="X139" i="2"/>
  <c r="AD138" i="2"/>
  <c r="AB138" i="2"/>
  <c r="AA138" i="2"/>
  <c r="Y138" i="2"/>
  <c r="X138" i="2"/>
  <c r="AD137" i="2"/>
  <c r="AB137" i="2"/>
  <c r="AA137" i="2"/>
  <c r="Y137" i="2"/>
  <c r="X137" i="2"/>
  <c r="AD136" i="2"/>
  <c r="AB136" i="2"/>
  <c r="AA136" i="2"/>
  <c r="Y136" i="2"/>
  <c r="X136" i="2"/>
  <c r="AD135" i="2"/>
  <c r="AB135" i="2"/>
  <c r="AA135" i="2"/>
  <c r="Y135" i="2"/>
  <c r="X135" i="2"/>
  <c r="AD134" i="2"/>
  <c r="AB134" i="2"/>
  <c r="AA134" i="2"/>
  <c r="Y134" i="2"/>
  <c r="X134" i="2"/>
  <c r="AD133" i="2"/>
  <c r="AB133" i="2"/>
  <c r="AA133" i="2"/>
  <c r="Y133" i="2"/>
  <c r="X133" i="2"/>
  <c r="AD132" i="2"/>
  <c r="AB132" i="2"/>
  <c r="AA132" i="2"/>
  <c r="Y132" i="2"/>
  <c r="X132" i="2"/>
  <c r="AD131" i="2"/>
  <c r="AB131" i="2"/>
  <c r="AA131" i="2"/>
  <c r="Y131" i="2"/>
  <c r="X131" i="2"/>
  <c r="AD130" i="2"/>
  <c r="AB130" i="2"/>
  <c r="Y130" i="2"/>
  <c r="X130" i="2"/>
  <c r="AD129" i="2"/>
  <c r="AB129" i="2"/>
  <c r="Y129" i="2"/>
  <c r="X129" i="2"/>
  <c r="AD128" i="2"/>
  <c r="AB128" i="2"/>
  <c r="Y128" i="2"/>
  <c r="X128" i="2"/>
  <c r="AD127" i="2"/>
  <c r="AB127" i="2"/>
  <c r="Y127" i="2"/>
  <c r="X127" i="2"/>
  <c r="AD126" i="2"/>
  <c r="AB126" i="2"/>
  <c r="Y126" i="2"/>
  <c r="X126" i="2"/>
  <c r="AD125" i="2"/>
  <c r="AB125" i="2"/>
  <c r="Y125" i="2"/>
  <c r="X125" i="2"/>
  <c r="AD124" i="2"/>
  <c r="AB124" i="2"/>
  <c r="Y124" i="2"/>
  <c r="X124" i="2"/>
  <c r="AD123" i="2"/>
  <c r="AB123" i="2"/>
  <c r="Y123" i="2"/>
  <c r="X123" i="2"/>
  <c r="AD122" i="2"/>
  <c r="AB122" i="2"/>
  <c r="Y122" i="2"/>
  <c r="X122" i="2"/>
  <c r="AD121" i="2"/>
  <c r="AB121" i="2"/>
  <c r="Y121" i="2"/>
  <c r="X121" i="2"/>
  <c r="AD120" i="2"/>
  <c r="AB120" i="2"/>
  <c r="Y120" i="2"/>
  <c r="X120" i="2"/>
  <c r="AD119" i="2"/>
  <c r="AB119" i="2"/>
  <c r="AA119" i="2"/>
  <c r="Y119" i="2"/>
  <c r="X119" i="2"/>
  <c r="AD118" i="2"/>
  <c r="AB118" i="2"/>
  <c r="AA118" i="2"/>
  <c r="Y118" i="2"/>
  <c r="X118" i="2"/>
  <c r="AD117" i="2"/>
  <c r="AB117" i="2"/>
  <c r="AA117" i="2"/>
  <c r="Y117" i="2"/>
  <c r="X117" i="2"/>
  <c r="AD116" i="2"/>
  <c r="AB116" i="2"/>
  <c r="AA116" i="2"/>
  <c r="Y116" i="2"/>
  <c r="X116" i="2"/>
  <c r="AD115" i="2"/>
  <c r="AB115" i="2"/>
  <c r="AA115" i="2"/>
  <c r="Y115" i="2"/>
  <c r="X115" i="2"/>
  <c r="AD114" i="2"/>
  <c r="AB114" i="2"/>
  <c r="AA114" i="2"/>
  <c r="Y114" i="2"/>
  <c r="X114" i="2"/>
  <c r="AD113" i="2"/>
  <c r="AB113" i="2"/>
  <c r="AA113" i="2"/>
  <c r="Y113" i="2"/>
  <c r="X113" i="2"/>
  <c r="AD112" i="2"/>
  <c r="AB112" i="2"/>
  <c r="AA112" i="2"/>
  <c r="Y112" i="2"/>
  <c r="X112" i="2"/>
  <c r="AD111" i="2"/>
  <c r="AB111" i="2"/>
  <c r="AA111" i="2"/>
  <c r="Y111" i="2"/>
  <c r="X111" i="2"/>
  <c r="AD110" i="2"/>
  <c r="AB110" i="2"/>
  <c r="AA110" i="2"/>
  <c r="Y110" i="2"/>
  <c r="X110" i="2"/>
  <c r="AD109" i="2"/>
  <c r="AB109" i="2"/>
  <c r="AA109" i="2"/>
  <c r="Y109" i="2"/>
  <c r="X109" i="2"/>
  <c r="AD108" i="2"/>
  <c r="AB108" i="2"/>
  <c r="AA108" i="2"/>
  <c r="Y108" i="2"/>
  <c r="X108" i="2"/>
  <c r="AD107" i="2"/>
  <c r="AA107" i="2"/>
  <c r="Y107" i="2"/>
  <c r="X107" i="2"/>
  <c r="AD106" i="2"/>
  <c r="AA106" i="2"/>
  <c r="Y106" i="2"/>
  <c r="X106" i="2"/>
  <c r="AD105" i="2"/>
  <c r="Y105" i="2"/>
  <c r="X105" i="2"/>
  <c r="AD104" i="2"/>
  <c r="Y104" i="2"/>
  <c r="X104" i="2"/>
  <c r="AD103" i="2"/>
  <c r="Y103" i="2"/>
  <c r="X103" i="2"/>
  <c r="AD102" i="2"/>
  <c r="Y102" i="2"/>
  <c r="X102" i="2"/>
  <c r="AD101" i="2"/>
  <c r="Y101" i="2"/>
  <c r="X101" i="2"/>
  <c r="AD100" i="2"/>
  <c r="Y100" i="2"/>
  <c r="X100" i="2"/>
  <c r="AD99" i="2"/>
  <c r="Y99" i="2"/>
  <c r="X99" i="2"/>
  <c r="AD98" i="2"/>
  <c r="Y98" i="2"/>
  <c r="X98" i="2"/>
  <c r="AD97" i="2"/>
  <c r="Y97" i="2"/>
  <c r="X97" i="2"/>
  <c r="AD96" i="2"/>
  <c r="Y96" i="2"/>
  <c r="X96" i="2"/>
  <c r="AD95" i="2"/>
  <c r="Y95" i="2"/>
  <c r="X95" i="2"/>
  <c r="AD94" i="2"/>
  <c r="Y94" i="2"/>
  <c r="X94" i="2"/>
  <c r="AD93" i="2"/>
  <c r="Y93" i="2"/>
  <c r="X93" i="2"/>
  <c r="AD92" i="2"/>
  <c r="Y92" i="2"/>
  <c r="X92" i="2"/>
  <c r="AD91" i="2"/>
  <c r="Y91" i="2"/>
  <c r="X91" i="2"/>
  <c r="AD90" i="2"/>
  <c r="Y90" i="2"/>
  <c r="X90" i="2"/>
  <c r="AD89" i="2"/>
  <c r="Y89" i="2"/>
  <c r="X89" i="2"/>
  <c r="AD88" i="2"/>
  <c r="Y88" i="2"/>
  <c r="X88" i="2"/>
  <c r="AD87" i="2"/>
  <c r="Y87" i="2"/>
  <c r="X87" i="2"/>
  <c r="AD86" i="2"/>
  <c r="Y86" i="2"/>
  <c r="X86" i="2"/>
  <c r="AD85" i="2"/>
  <c r="Y85" i="2"/>
  <c r="X85" i="2"/>
  <c r="AD84" i="2"/>
  <c r="Y84" i="2"/>
  <c r="X84" i="2"/>
  <c r="AD83" i="2"/>
  <c r="Y83" i="2"/>
  <c r="X83" i="2"/>
  <c r="AD82" i="2"/>
  <c r="Y82" i="2"/>
  <c r="X82" i="2"/>
  <c r="AD81" i="2"/>
  <c r="Y81" i="2"/>
  <c r="X81" i="2"/>
  <c r="AD80" i="2"/>
  <c r="Y80" i="2"/>
  <c r="X80" i="2"/>
  <c r="AD79" i="2"/>
  <c r="Y79" i="2"/>
  <c r="X79" i="2"/>
  <c r="AD78" i="2"/>
  <c r="Y78" i="2"/>
  <c r="X78" i="2"/>
  <c r="AD77" i="2"/>
  <c r="Y77" i="2"/>
  <c r="X77" i="2"/>
  <c r="AD76" i="2"/>
  <c r="Y76" i="2"/>
  <c r="X76" i="2"/>
  <c r="AD75" i="2"/>
  <c r="Y75" i="2"/>
  <c r="X75" i="2"/>
  <c r="AD74" i="2"/>
  <c r="Y74" i="2"/>
  <c r="X74" i="2"/>
  <c r="AD73" i="2"/>
  <c r="Y73" i="2"/>
  <c r="X73" i="2"/>
  <c r="AD72" i="2"/>
  <c r="Y72" i="2"/>
  <c r="X72" i="2"/>
  <c r="AD71" i="2"/>
  <c r="Y71" i="2"/>
  <c r="X71" i="2"/>
  <c r="AD70" i="2"/>
  <c r="Y70" i="2"/>
  <c r="X70" i="2"/>
  <c r="AD69" i="2"/>
  <c r="Y69" i="2"/>
  <c r="X69" i="2"/>
  <c r="AD68" i="2"/>
  <c r="Y68" i="2"/>
  <c r="X68" i="2"/>
  <c r="AD67" i="2"/>
  <c r="Y67" i="2"/>
  <c r="X67" i="2"/>
  <c r="AD66" i="2"/>
  <c r="Y66" i="2"/>
  <c r="X66" i="2"/>
  <c r="AD65" i="2"/>
  <c r="Y65" i="2"/>
  <c r="X65" i="2"/>
  <c r="AD64" i="2"/>
  <c r="Y64" i="2"/>
  <c r="X64" i="2"/>
  <c r="AD63" i="2"/>
  <c r="Y63" i="2"/>
  <c r="X63" i="2"/>
  <c r="AD62" i="2"/>
  <c r="Y62" i="2"/>
  <c r="X62" i="2"/>
  <c r="AD61" i="2"/>
  <c r="Y61" i="2"/>
  <c r="X61" i="2"/>
  <c r="AD60" i="2"/>
  <c r="Y60" i="2"/>
  <c r="X60" i="2"/>
  <c r="AD59" i="2"/>
  <c r="Y59" i="2"/>
  <c r="X59" i="2"/>
  <c r="AD58" i="2"/>
  <c r="Y58" i="2"/>
  <c r="X58" i="2"/>
  <c r="AD57" i="2"/>
  <c r="Y57" i="2"/>
  <c r="X57" i="2"/>
  <c r="AD56" i="2"/>
  <c r="AA56" i="2"/>
  <c r="Z56" i="2"/>
  <c r="Y56" i="2"/>
  <c r="X56" i="2"/>
  <c r="AD55" i="2"/>
  <c r="AA55" i="2"/>
  <c r="Z55" i="2"/>
  <c r="Y55" i="2"/>
  <c r="X55" i="2"/>
  <c r="AD54" i="2"/>
  <c r="AA54" i="2"/>
  <c r="Z54" i="2"/>
  <c r="Y54" i="2"/>
  <c r="X54" i="2"/>
  <c r="AD53" i="2"/>
  <c r="AA53" i="2"/>
  <c r="Z53" i="2"/>
  <c r="Y53" i="2"/>
  <c r="X53" i="2"/>
  <c r="AD52" i="2"/>
  <c r="AA52" i="2"/>
  <c r="Z52" i="2"/>
  <c r="Y52" i="2"/>
  <c r="X52" i="2"/>
  <c r="AD51" i="2"/>
  <c r="AA51" i="2"/>
  <c r="Z51" i="2"/>
  <c r="Y51" i="2"/>
  <c r="X51" i="2"/>
  <c r="AD50" i="2"/>
  <c r="AA50" i="2"/>
  <c r="Z50" i="2"/>
  <c r="Y50" i="2"/>
  <c r="X50" i="2"/>
  <c r="AD49" i="2"/>
  <c r="AA49" i="2"/>
  <c r="Z49" i="2"/>
  <c r="Y49" i="2"/>
  <c r="X49" i="2"/>
  <c r="AD48" i="2"/>
  <c r="AA48" i="2"/>
  <c r="Z48" i="2"/>
  <c r="Y48" i="2"/>
  <c r="X48" i="2"/>
  <c r="AD47" i="2"/>
  <c r="AA47" i="2"/>
  <c r="Z47" i="2"/>
  <c r="Y47" i="2"/>
  <c r="X47" i="2"/>
  <c r="AD46" i="2"/>
  <c r="AA46" i="2"/>
  <c r="Z46" i="2"/>
  <c r="Y46" i="2"/>
  <c r="X46" i="2"/>
  <c r="AD45" i="2"/>
  <c r="AA45" i="2"/>
  <c r="Z45" i="2"/>
  <c r="Y45" i="2"/>
  <c r="X45" i="2"/>
  <c r="AD44" i="2"/>
  <c r="AA44" i="2"/>
  <c r="Z44" i="2"/>
  <c r="Y44" i="2"/>
  <c r="X44" i="2"/>
  <c r="AD43" i="2"/>
  <c r="AA43" i="2"/>
  <c r="Z43" i="2"/>
  <c r="Y43" i="2"/>
  <c r="X43" i="2"/>
  <c r="AD42" i="2"/>
  <c r="AA42" i="2"/>
  <c r="Z42" i="2"/>
  <c r="Y42" i="2"/>
  <c r="X42" i="2"/>
  <c r="AD41" i="2"/>
  <c r="AA41" i="2"/>
  <c r="Z41" i="2"/>
  <c r="Y41" i="2"/>
  <c r="X41" i="2"/>
  <c r="AD40" i="2"/>
  <c r="AA40" i="2"/>
  <c r="Z40" i="2"/>
  <c r="Y40" i="2"/>
  <c r="X40" i="2"/>
  <c r="AD39" i="2"/>
  <c r="AA39" i="2"/>
  <c r="Z39" i="2"/>
  <c r="Y39" i="2"/>
  <c r="X39" i="2"/>
  <c r="AD38" i="2"/>
  <c r="AA38" i="2"/>
  <c r="Z38" i="2"/>
  <c r="Y38" i="2"/>
  <c r="X38" i="2"/>
  <c r="AD37" i="2"/>
  <c r="AA37" i="2"/>
  <c r="Z37" i="2"/>
  <c r="Y37" i="2"/>
  <c r="X37" i="2"/>
  <c r="AD36" i="2"/>
  <c r="AC36" i="2"/>
  <c r="AA36" i="2"/>
  <c r="Z36" i="2"/>
  <c r="Y36" i="2"/>
  <c r="X36" i="2"/>
  <c r="AD35" i="2"/>
  <c r="AC35" i="2"/>
  <c r="AA35" i="2"/>
  <c r="Z35" i="2"/>
  <c r="Y35" i="2"/>
  <c r="X35" i="2"/>
  <c r="AD34" i="2"/>
  <c r="AC34" i="2"/>
  <c r="AA34" i="2"/>
  <c r="Z34" i="2"/>
  <c r="Y34" i="2"/>
  <c r="X34" i="2"/>
  <c r="AD33" i="2"/>
  <c r="AC33" i="2"/>
  <c r="AA33" i="2"/>
  <c r="Z33" i="2"/>
  <c r="Y33" i="2"/>
  <c r="X33" i="2"/>
  <c r="AD32" i="2"/>
  <c r="AC32" i="2"/>
  <c r="AB32" i="2"/>
  <c r="AA32" i="2"/>
  <c r="Z32" i="2"/>
  <c r="Y32" i="2"/>
  <c r="X32" i="2"/>
  <c r="W32" i="2"/>
  <c r="AD31" i="2"/>
  <c r="AC31" i="2"/>
  <c r="AB31" i="2"/>
  <c r="AA31" i="2"/>
  <c r="Z31" i="2"/>
  <c r="Y31" i="2"/>
  <c r="X31" i="2"/>
  <c r="W31" i="2"/>
  <c r="AD30" i="2"/>
  <c r="AC30" i="2"/>
  <c r="AB30" i="2"/>
  <c r="AA30" i="2"/>
  <c r="Z30" i="2"/>
  <c r="Y30" i="2"/>
  <c r="X30" i="2"/>
  <c r="W30" i="2"/>
  <c r="AD29" i="2"/>
  <c r="AC29" i="2"/>
  <c r="AB29" i="2"/>
  <c r="AA29" i="2"/>
  <c r="Z29" i="2"/>
  <c r="Y29" i="2"/>
  <c r="X29" i="2"/>
  <c r="W29" i="2"/>
  <c r="AD28" i="2"/>
  <c r="AC28" i="2"/>
  <c r="AB28" i="2"/>
  <c r="AA28" i="2"/>
  <c r="Z28" i="2"/>
  <c r="Y28" i="2"/>
  <c r="X28" i="2"/>
  <c r="W28" i="2"/>
  <c r="AD27" i="2"/>
  <c r="AC27" i="2"/>
  <c r="AB27" i="2"/>
  <c r="AA27" i="2"/>
  <c r="Z27" i="2"/>
  <c r="Y27" i="2"/>
  <c r="X27" i="2"/>
  <c r="W27" i="2"/>
  <c r="AD26" i="2"/>
  <c r="AC26" i="2"/>
  <c r="AB26" i="2"/>
  <c r="AA26" i="2"/>
  <c r="Z26" i="2"/>
  <c r="Y26" i="2"/>
  <c r="X26" i="2"/>
  <c r="W26" i="2"/>
  <c r="AD25" i="2"/>
  <c r="AC25" i="2"/>
  <c r="AB25" i="2"/>
  <c r="AA25" i="2"/>
  <c r="Z25" i="2"/>
  <c r="Y25" i="2"/>
  <c r="X25" i="2"/>
  <c r="W25" i="2"/>
  <c r="AD24" i="2"/>
  <c r="AC24" i="2"/>
  <c r="AB24" i="2"/>
  <c r="AA24" i="2"/>
  <c r="Z24" i="2"/>
  <c r="Y24" i="2"/>
  <c r="X24" i="2"/>
  <c r="W24" i="2"/>
  <c r="AD23" i="2"/>
  <c r="AC23" i="2"/>
  <c r="AB23" i="2"/>
  <c r="AA23" i="2"/>
  <c r="Z23" i="2"/>
  <c r="Y23" i="2"/>
  <c r="X23" i="2"/>
  <c r="W23" i="2"/>
  <c r="AD22" i="2"/>
  <c r="AC22" i="2"/>
  <c r="AB22" i="2"/>
  <c r="AA22" i="2"/>
  <c r="Z22" i="2"/>
  <c r="Y22" i="2"/>
  <c r="X22" i="2"/>
  <c r="W22" i="2"/>
  <c r="AD21" i="2"/>
  <c r="AC21" i="2"/>
  <c r="AB21" i="2"/>
  <c r="AA21" i="2"/>
  <c r="Z21" i="2"/>
  <c r="Y21" i="2"/>
  <c r="X21" i="2"/>
  <c r="W21" i="2"/>
  <c r="AD20" i="2"/>
  <c r="AC20" i="2"/>
  <c r="AB20" i="2"/>
  <c r="AA20" i="2"/>
  <c r="Z20" i="2"/>
  <c r="Y20" i="2"/>
  <c r="X20" i="2"/>
  <c r="W20" i="2"/>
  <c r="AD19" i="2"/>
  <c r="AC19" i="2"/>
  <c r="AB19" i="2"/>
  <c r="AA19" i="2"/>
  <c r="Z19" i="2"/>
  <c r="Y19" i="2"/>
  <c r="X19" i="2"/>
  <c r="W19" i="2"/>
  <c r="AD18" i="2"/>
  <c r="AC18" i="2"/>
  <c r="AB18" i="2"/>
  <c r="AA18" i="2"/>
  <c r="Z18" i="2"/>
  <c r="Y18" i="2"/>
  <c r="X18" i="2"/>
  <c r="W18" i="2"/>
  <c r="AD17" i="2"/>
  <c r="AC17" i="2"/>
  <c r="AB17" i="2"/>
  <c r="AA17" i="2"/>
  <c r="Z17" i="2"/>
  <c r="Y17" i="2"/>
  <c r="X17" i="2"/>
  <c r="W17" i="2"/>
  <c r="AD16" i="2"/>
  <c r="AC16" i="2"/>
  <c r="AB16" i="2"/>
  <c r="AA16" i="2"/>
  <c r="Z16" i="2"/>
  <c r="Y16" i="2"/>
  <c r="X16" i="2"/>
  <c r="W16" i="2"/>
  <c r="AD15" i="2"/>
  <c r="AC15" i="2"/>
  <c r="AB15" i="2"/>
  <c r="AA15" i="2"/>
  <c r="Z15" i="2"/>
  <c r="Y15" i="2"/>
  <c r="X15" i="2"/>
  <c r="W15" i="2"/>
  <c r="AD14" i="2"/>
  <c r="AC14" i="2"/>
  <c r="AB14" i="2"/>
  <c r="AA14" i="2"/>
  <c r="Z14" i="2"/>
  <c r="Y14" i="2"/>
  <c r="X14" i="2"/>
  <c r="W14" i="2"/>
  <c r="AD13" i="2"/>
  <c r="AC13" i="2"/>
  <c r="AB13" i="2"/>
  <c r="AA13" i="2"/>
  <c r="Z13" i="2"/>
  <c r="Y13" i="2"/>
  <c r="X13" i="2"/>
  <c r="W13" i="2"/>
  <c r="AD12" i="2"/>
  <c r="AC12" i="2"/>
  <c r="AB12" i="2"/>
  <c r="AA12" i="2"/>
  <c r="Z12" i="2"/>
  <c r="Y12" i="2"/>
  <c r="X12" i="2"/>
  <c r="W12" i="2"/>
  <c r="AD11" i="2"/>
  <c r="AC11" i="2"/>
  <c r="AB11" i="2"/>
  <c r="AA11" i="2"/>
  <c r="Z11" i="2"/>
  <c r="Y11" i="2"/>
  <c r="X11" i="2"/>
  <c r="W11" i="2"/>
  <c r="AD10" i="2"/>
  <c r="AC10" i="2"/>
  <c r="AB10" i="2"/>
  <c r="AA10" i="2"/>
  <c r="Z10" i="2"/>
  <c r="Y10" i="2"/>
  <c r="X10" i="2"/>
  <c r="W10" i="2"/>
  <c r="AD9" i="2"/>
  <c r="AC9" i="2"/>
  <c r="AB9" i="2"/>
  <c r="AA9" i="2"/>
  <c r="Z9" i="2"/>
  <c r="Y9" i="2"/>
  <c r="X9" i="2"/>
  <c r="W9" i="2"/>
  <c r="AD8" i="2"/>
  <c r="AC8" i="2"/>
  <c r="AB8" i="2"/>
  <c r="AA8" i="2"/>
  <c r="Z8" i="2"/>
  <c r="Y8" i="2"/>
  <c r="X8" i="2"/>
  <c r="W8" i="2"/>
  <c r="AD7" i="2"/>
  <c r="AC7" i="2"/>
  <c r="AB7" i="2"/>
  <c r="AA7" i="2"/>
  <c r="Z7" i="2"/>
  <c r="Y7" i="2"/>
  <c r="X7" i="2"/>
  <c r="W7" i="2"/>
  <c r="AF7" i="2" l="1"/>
  <c r="AF8" i="2"/>
  <c r="AF10" i="2"/>
  <c r="AF11" i="2"/>
  <c r="AF13" i="2"/>
  <c r="AF14" i="2"/>
  <c r="AF15" i="2"/>
  <c r="AF17" i="2"/>
  <c r="AF18" i="2"/>
  <c r="AF20" i="2"/>
  <c r="AF22" i="2"/>
  <c r="AF24" i="2"/>
  <c r="AF25" i="2"/>
  <c r="AF26" i="2"/>
  <c r="AF28" i="2"/>
  <c r="AF29" i="2"/>
  <c r="AF30" i="2"/>
  <c r="AF19" i="2"/>
  <c r="AF23" i="2"/>
  <c r="AF27" i="2"/>
  <c r="AF31" i="2"/>
  <c r="AF9" i="2"/>
  <c r="AF12" i="2"/>
  <c r="AF16" i="2"/>
  <c r="AF21" i="2"/>
  <c r="AF32" i="2"/>
  <c r="N56" i="3" l="1"/>
  <c r="J56" i="3"/>
  <c r="F56" i="3"/>
  <c r="B56" i="3"/>
  <c r="N55" i="3"/>
  <c r="J55" i="3"/>
  <c r="F55" i="3"/>
  <c r="B55" i="3"/>
  <c r="N54" i="3"/>
  <c r="J54" i="3"/>
  <c r="F54" i="3"/>
  <c r="B54" i="3"/>
  <c r="N53" i="3"/>
  <c r="J53" i="3"/>
  <c r="F53" i="3"/>
  <c r="B53" i="3"/>
  <c r="N52" i="3"/>
  <c r="J52" i="3"/>
  <c r="F52" i="3"/>
  <c r="B52" i="3"/>
  <c r="N51" i="3"/>
  <c r="J51" i="3"/>
  <c r="F51" i="3"/>
  <c r="B51" i="3"/>
  <c r="N50" i="3"/>
  <c r="J50" i="3"/>
  <c r="F50" i="3"/>
  <c r="B50" i="3"/>
  <c r="N49" i="3"/>
  <c r="J49" i="3"/>
  <c r="F49" i="3"/>
  <c r="B49" i="3"/>
  <c r="N48" i="3"/>
  <c r="J48" i="3"/>
  <c r="F48" i="3"/>
  <c r="B48" i="3"/>
  <c r="N47" i="3"/>
  <c r="J47" i="3"/>
  <c r="F47" i="3"/>
  <c r="B47" i="3"/>
  <c r="N46" i="3"/>
  <c r="J46" i="3"/>
  <c r="F46" i="3"/>
  <c r="B46" i="3"/>
  <c r="N45" i="3"/>
  <c r="J45" i="3"/>
  <c r="F45" i="3"/>
  <c r="B45" i="3"/>
  <c r="N44" i="3"/>
  <c r="J44" i="3"/>
  <c r="F44" i="3"/>
  <c r="B44" i="3"/>
  <c r="N43" i="3"/>
  <c r="J43" i="3"/>
  <c r="F43" i="3"/>
  <c r="B43" i="3"/>
  <c r="N42" i="3"/>
  <c r="J42" i="3"/>
  <c r="F42" i="3"/>
  <c r="B42" i="3"/>
  <c r="N41" i="3"/>
  <c r="J41" i="3"/>
  <c r="F41" i="3"/>
  <c r="B41" i="3"/>
  <c r="N40" i="3"/>
  <c r="J40" i="3"/>
  <c r="F40" i="3"/>
  <c r="B40" i="3"/>
  <c r="N39" i="3"/>
  <c r="J39" i="3"/>
  <c r="F39" i="3"/>
  <c r="B39" i="3"/>
  <c r="N38" i="3"/>
  <c r="J38" i="3"/>
  <c r="F38" i="3"/>
  <c r="B38" i="3"/>
  <c r="N37" i="3"/>
  <c r="J37" i="3"/>
  <c r="F37" i="3"/>
  <c r="B37" i="3"/>
  <c r="N36" i="3"/>
  <c r="J36" i="3"/>
  <c r="F36" i="3"/>
  <c r="B36" i="3"/>
  <c r="N35" i="3"/>
  <c r="J35" i="3"/>
  <c r="F35" i="3"/>
  <c r="B35" i="3"/>
  <c r="N34" i="3"/>
  <c r="J34" i="3"/>
  <c r="F34" i="3"/>
  <c r="B34" i="3"/>
  <c r="N33" i="3"/>
  <c r="J33" i="3"/>
  <c r="F33" i="3"/>
  <c r="B33" i="3"/>
  <c r="P32" i="3"/>
  <c r="N32" i="3"/>
  <c r="L32" i="3"/>
  <c r="J32" i="3"/>
  <c r="H32" i="3"/>
  <c r="F32" i="3"/>
  <c r="D32" i="3"/>
  <c r="B32" i="3"/>
  <c r="P31" i="3"/>
  <c r="N31" i="3"/>
  <c r="L31" i="3"/>
  <c r="J31" i="3"/>
  <c r="H31" i="3"/>
  <c r="F31" i="3"/>
  <c r="D31" i="3"/>
  <c r="B31" i="3"/>
  <c r="P30" i="3"/>
  <c r="N30" i="3"/>
  <c r="L30" i="3"/>
  <c r="J30" i="3"/>
  <c r="H30" i="3"/>
  <c r="F30" i="3"/>
  <c r="D30" i="3"/>
  <c r="B30" i="3"/>
  <c r="P29" i="3"/>
  <c r="N29" i="3"/>
  <c r="L29" i="3"/>
  <c r="J29" i="3"/>
  <c r="H29" i="3"/>
  <c r="F29" i="3"/>
  <c r="D29" i="3"/>
  <c r="B29" i="3"/>
  <c r="P28" i="3"/>
  <c r="N28" i="3"/>
  <c r="L28" i="3"/>
  <c r="J28" i="3"/>
  <c r="H28" i="3"/>
  <c r="F28" i="3"/>
  <c r="D28" i="3"/>
  <c r="B28" i="3"/>
  <c r="P27" i="3"/>
  <c r="N27" i="3"/>
  <c r="L27" i="3"/>
  <c r="J27" i="3"/>
  <c r="H27" i="3"/>
  <c r="F27" i="3"/>
  <c r="D27" i="3"/>
  <c r="B27" i="3"/>
  <c r="P26" i="3"/>
  <c r="N26" i="3"/>
  <c r="L26" i="3"/>
  <c r="J26" i="3"/>
  <c r="H26" i="3"/>
  <c r="F26" i="3"/>
  <c r="D26" i="3"/>
  <c r="B26" i="3"/>
  <c r="P25" i="3"/>
  <c r="N25" i="3"/>
  <c r="L25" i="3"/>
  <c r="J25" i="3"/>
  <c r="H25" i="3"/>
  <c r="F25" i="3"/>
  <c r="D25" i="3"/>
  <c r="B25" i="3"/>
  <c r="P24" i="3"/>
  <c r="N24" i="3"/>
  <c r="L24" i="3"/>
  <c r="J24" i="3"/>
  <c r="H24" i="3"/>
  <c r="F24" i="3"/>
  <c r="D24" i="3"/>
  <c r="B24" i="3"/>
  <c r="P23" i="3"/>
  <c r="N23" i="3"/>
  <c r="L23" i="3"/>
  <c r="J23" i="3"/>
  <c r="H23" i="3"/>
  <c r="F23" i="3"/>
  <c r="D23" i="3"/>
  <c r="B23" i="3"/>
  <c r="P22" i="3"/>
  <c r="N22" i="3"/>
  <c r="L22" i="3"/>
  <c r="J22" i="3"/>
  <c r="H22" i="3"/>
  <c r="F22" i="3"/>
  <c r="D22" i="3"/>
  <c r="B22" i="3"/>
  <c r="P21" i="3"/>
  <c r="N21" i="3"/>
  <c r="L21" i="3"/>
  <c r="J21" i="3"/>
  <c r="H21" i="3"/>
  <c r="F21" i="3"/>
  <c r="D21" i="3"/>
  <c r="B21" i="3"/>
  <c r="P20" i="3"/>
  <c r="N20" i="3"/>
  <c r="L20" i="3"/>
  <c r="J20" i="3"/>
  <c r="H20" i="3"/>
  <c r="F20" i="3"/>
  <c r="D20" i="3"/>
  <c r="B20" i="3"/>
  <c r="P19" i="3"/>
  <c r="N19" i="3"/>
  <c r="L19" i="3"/>
  <c r="J19" i="3"/>
  <c r="H19" i="3"/>
  <c r="F19" i="3"/>
  <c r="D19" i="3"/>
  <c r="B19" i="3"/>
  <c r="P18" i="3"/>
  <c r="N18" i="3"/>
  <c r="L18" i="3"/>
  <c r="J18" i="3"/>
  <c r="H18" i="3"/>
  <c r="F18" i="3"/>
  <c r="D18" i="3"/>
  <c r="B18" i="3"/>
  <c r="P17" i="3"/>
  <c r="N17" i="3"/>
  <c r="L17" i="3"/>
  <c r="J17" i="3"/>
  <c r="H17" i="3"/>
  <c r="F17" i="3"/>
  <c r="D17" i="3"/>
  <c r="B17" i="3"/>
  <c r="P16" i="3"/>
  <c r="N16" i="3"/>
  <c r="L16" i="3"/>
  <c r="J16" i="3"/>
  <c r="H16" i="3"/>
  <c r="F16" i="3"/>
  <c r="D16" i="3"/>
  <c r="B16" i="3"/>
  <c r="P15" i="3"/>
  <c r="N15" i="3"/>
  <c r="L15" i="3"/>
  <c r="J15" i="3"/>
  <c r="H15" i="3"/>
  <c r="F15" i="3"/>
  <c r="D15" i="3"/>
  <c r="B15" i="3"/>
  <c r="P14" i="3"/>
  <c r="N14" i="3"/>
  <c r="L14" i="3"/>
  <c r="J14" i="3"/>
  <c r="H14" i="3"/>
  <c r="F14" i="3"/>
  <c r="D14" i="3"/>
  <c r="B14" i="3"/>
  <c r="P13" i="3"/>
  <c r="N13" i="3"/>
  <c r="L13" i="3"/>
  <c r="J13" i="3"/>
  <c r="H13" i="3"/>
  <c r="F13" i="3"/>
  <c r="D13" i="3"/>
  <c r="B13" i="3"/>
  <c r="P12" i="3"/>
  <c r="N12" i="3"/>
  <c r="L12" i="3"/>
  <c r="J12" i="3"/>
  <c r="H12" i="3"/>
  <c r="F12" i="3"/>
  <c r="D12" i="3"/>
  <c r="B12" i="3"/>
  <c r="P11" i="3"/>
  <c r="N11" i="3"/>
  <c r="L11" i="3"/>
  <c r="J11" i="3"/>
  <c r="H11" i="3"/>
  <c r="F11" i="3"/>
  <c r="D11" i="3"/>
  <c r="B11" i="3"/>
  <c r="P10" i="3"/>
  <c r="N10" i="3"/>
  <c r="L10" i="3"/>
  <c r="J10" i="3"/>
  <c r="H10" i="3"/>
  <c r="F10" i="3"/>
  <c r="D10" i="3"/>
  <c r="B10" i="3"/>
  <c r="P9" i="3"/>
  <c r="N9" i="3"/>
  <c r="L9" i="3"/>
  <c r="J9" i="3"/>
  <c r="H9" i="3"/>
  <c r="F9" i="3"/>
  <c r="D9" i="3"/>
  <c r="B9" i="3"/>
  <c r="P8" i="3"/>
  <c r="N8" i="3"/>
  <c r="L8" i="3"/>
  <c r="J8" i="3"/>
  <c r="H8" i="3"/>
  <c r="F8" i="3"/>
  <c r="D8" i="3"/>
  <c r="B8" i="3"/>
  <c r="P7" i="3"/>
  <c r="N7" i="3"/>
  <c r="L7" i="3"/>
  <c r="J7" i="3"/>
  <c r="H7" i="3"/>
  <c r="F7" i="3"/>
  <c r="D7" i="3"/>
  <c r="B7" i="3"/>
  <c r="AB56" i="3"/>
  <c r="Y56" i="3"/>
  <c r="V56" i="3"/>
  <c r="S56" i="3"/>
  <c r="AB55" i="3"/>
  <c r="Y55" i="3"/>
  <c r="V55" i="3"/>
  <c r="S55" i="3"/>
  <c r="AB54" i="3"/>
  <c r="Y54" i="3"/>
  <c r="V54" i="3"/>
  <c r="S54" i="3"/>
  <c r="AB53" i="3"/>
  <c r="Y53" i="3"/>
  <c r="V53" i="3"/>
  <c r="S53" i="3"/>
  <c r="AB52" i="3"/>
  <c r="Y52" i="3"/>
  <c r="V52" i="3"/>
  <c r="S52" i="3"/>
  <c r="AB51" i="3"/>
  <c r="Y51" i="3"/>
  <c r="V51" i="3"/>
  <c r="S51" i="3"/>
  <c r="AB50" i="3"/>
  <c r="Y50" i="3"/>
  <c r="V50" i="3"/>
  <c r="S50" i="3"/>
  <c r="AB49" i="3"/>
  <c r="Y49" i="3"/>
  <c r="V49" i="3"/>
  <c r="S49" i="3"/>
  <c r="AB48" i="3"/>
  <c r="Y48" i="3"/>
  <c r="V48" i="3"/>
  <c r="S48" i="3"/>
  <c r="AB47" i="3"/>
  <c r="Y47" i="3"/>
  <c r="V47" i="3"/>
  <c r="S47" i="3"/>
  <c r="AB46" i="3"/>
  <c r="Y46" i="3"/>
  <c r="V46" i="3"/>
  <c r="S46" i="3"/>
  <c r="AB45" i="3"/>
  <c r="Y45" i="3"/>
  <c r="V45" i="3"/>
  <c r="S45" i="3"/>
  <c r="AB44" i="3"/>
  <c r="Y44" i="3"/>
  <c r="V44" i="3"/>
  <c r="S44" i="3"/>
  <c r="AB43" i="3"/>
  <c r="Y43" i="3"/>
  <c r="V43" i="3"/>
  <c r="S43" i="3"/>
  <c r="AB42" i="3"/>
  <c r="Y42" i="3"/>
  <c r="V42" i="3"/>
  <c r="S42" i="3"/>
  <c r="AB41" i="3"/>
  <c r="Y41" i="3"/>
  <c r="V41" i="3"/>
  <c r="S41" i="3"/>
  <c r="AB40" i="3"/>
  <c r="Y40" i="3"/>
  <c r="V40" i="3"/>
  <c r="S40" i="3"/>
  <c r="AB39" i="3"/>
  <c r="Y39" i="3"/>
  <c r="V39" i="3"/>
  <c r="S39" i="3"/>
  <c r="AB38" i="3"/>
  <c r="Y38" i="3"/>
  <c r="V38" i="3"/>
  <c r="S38" i="3"/>
  <c r="AB37" i="3"/>
  <c r="Y37" i="3"/>
  <c r="V37" i="3"/>
  <c r="S37" i="3"/>
  <c r="AB36" i="3"/>
  <c r="Y36" i="3"/>
  <c r="V36" i="3"/>
  <c r="S36" i="3"/>
  <c r="AB35" i="3"/>
  <c r="Y35" i="3"/>
  <c r="V35" i="3"/>
  <c r="S35" i="3"/>
  <c r="AB34" i="3"/>
  <c r="Y34" i="3"/>
  <c r="V34" i="3"/>
  <c r="S34" i="3"/>
  <c r="AB33" i="3"/>
  <c r="Y33" i="3"/>
  <c r="V33" i="3"/>
  <c r="S33" i="3"/>
  <c r="AC32" i="3"/>
  <c r="AB32" i="3"/>
  <c r="Z32" i="3"/>
  <c r="Y32" i="3"/>
  <c r="W32" i="3"/>
  <c r="V32" i="3"/>
  <c r="T32" i="3"/>
  <c r="S32" i="3"/>
  <c r="AC31" i="3"/>
  <c r="AB31" i="3"/>
  <c r="Z31" i="3"/>
  <c r="Y31" i="3"/>
  <c r="W31" i="3"/>
  <c r="V31" i="3"/>
  <c r="T31" i="3"/>
  <c r="S31" i="3"/>
  <c r="AC30" i="3"/>
  <c r="AB30" i="3"/>
  <c r="Z30" i="3"/>
  <c r="Y30" i="3"/>
  <c r="W30" i="3"/>
  <c r="V30" i="3"/>
  <c r="T30" i="3"/>
  <c r="S30" i="3"/>
  <c r="AC29" i="3"/>
  <c r="AB29" i="3"/>
  <c r="Z29" i="3"/>
  <c r="Y29" i="3"/>
  <c r="W29" i="3"/>
  <c r="V29" i="3"/>
  <c r="T29" i="3"/>
  <c r="S29" i="3"/>
  <c r="AC28" i="3"/>
  <c r="AB28" i="3"/>
  <c r="Z28" i="3"/>
  <c r="Y28" i="3"/>
  <c r="W28" i="3"/>
  <c r="V28" i="3"/>
  <c r="T28" i="3"/>
  <c r="S28" i="3"/>
  <c r="AC27" i="3"/>
  <c r="AB27" i="3"/>
  <c r="Z27" i="3"/>
  <c r="Y27" i="3"/>
  <c r="W27" i="3"/>
  <c r="V27" i="3"/>
  <c r="T27" i="3"/>
  <c r="S27" i="3"/>
  <c r="AC26" i="3"/>
  <c r="AB26" i="3"/>
  <c r="Z26" i="3"/>
  <c r="Y26" i="3"/>
  <c r="W26" i="3"/>
  <c r="V26" i="3"/>
  <c r="T26" i="3"/>
  <c r="S26" i="3"/>
  <c r="AC25" i="3"/>
  <c r="AB25" i="3"/>
  <c r="Z25" i="3"/>
  <c r="Y25" i="3"/>
  <c r="W25" i="3"/>
  <c r="V25" i="3"/>
  <c r="T25" i="3"/>
  <c r="S25" i="3"/>
  <c r="AC24" i="3"/>
  <c r="AB24" i="3"/>
  <c r="Z24" i="3"/>
  <c r="Y24" i="3"/>
  <c r="W24" i="3"/>
  <c r="V24" i="3"/>
  <c r="T24" i="3"/>
  <c r="S24" i="3"/>
  <c r="AC23" i="3"/>
  <c r="AB23" i="3"/>
  <c r="Z23" i="3"/>
  <c r="Y23" i="3"/>
  <c r="W23" i="3"/>
  <c r="V23" i="3"/>
  <c r="T23" i="3"/>
  <c r="S23" i="3"/>
  <c r="AC22" i="3"/>
  <c r="AB22" i="3"/>
  <c r="Z22" i="3"/>
  <c r="Y22" i="3"/>
  <c r="W22" i="3"/>
  <c r="V22" i="3"/>
  <c r="T22" i="3"/>
  <c r="S22" i="3"/>
  <c r="AC21" i="3"/>
  <c r="AB21" i="3"/>
  <c r="Z21" i="3"/>
  <c r="Y21" i="3"/>
  <c r="W21" i="3"/>
  <c r="V21" i="3"/>
  <c r="T21" i="3"/>
  <c r="S21" i="3"/>
  <c r="AC20" i="3"/>
  <c r="AB20" i="3"/>
  <c r="Z20" i="3"/>
  <c r="Y20" i="3"/>
  <c r="W20" i="3"/>
  <c r="V20" i="3"/>
  <c r="T20" i="3"/>
  <c r="S20" i="3"/>
  <c r="AC19" i="3"/>
  <c r="AB19" i="3"/>
  <c r="Z19" i="3"/>
  <c r="Y19" i="3"/>
  <c r="W19" i="3"/>
  <c r="V19" i="3"/>
  <c r="T19" i="3"/>
  <c r="S19" i="3"/>
  <c r="AC18" i="3"/>
  <c r="AB18" i="3"/>
  <c r="Z18" i="3"/>
  <c r="Y18" i="3"/>
  <c r="W18" i="3"/>
  <c r="V18" i="3"/>
  <c r="T18" i="3"/>
  <c r="S18" i="3"/>
  <c r="AC17" i="3"/>
  <c r="AB17" i="3"/>
  <c r="Z17" i="3"/>
  <c r="Y17" i="3"/>
  <c r="W17" i="3"/>
  <c r="V17" i="3"/>
  <c r="T17" i="3"/>
  <c r="S17" i="3"/>
  <c r="AC16" i="3"/>
  <c r="AB16" i="3"/>
  <c r="Z16" i="3"/>
  <c r="Y16" i="3"/>
  <c r="W16" i="3"/>
  <c r="V16" i="3"/>
  <c r="T16" i="3"/>
  <c r="S16" i="3"/>
  <c r="AC15" i="3"/>
  <c r="AB15" i="3"/>
  <c r="Z15" i="3"/>
  <c r="Y15" i="3"/>
  <c r="W15" i="3"/>
  <c r="V15" i="3"/>
  <c r="T15" i="3"/>
  <c r="S15" i="3"/>
  <c r="AC14" i="3"/>
  <c r="AB14" i="3"/>
  <c r="Z14" i="3"/>
  <c r="Y14" i="3"/>
  <c r="W14" i="3"/>
  <c r="V14" i="3"/>
  <c r="T14" i="3"/>
  <c r="S14" i="3"/>
  <c r="AC13" i="3"/>
  <c r="AB13" i="3"/>
  <c r="Z13" i="3"/>
  <c r="Y13" i="3"/>
  <c r="W13" i="3"/>
  <c r="V13" i="3"/>
  <c r="T13" i="3"/>
  <c r="S13" i="3"/>
  <c r="AC12" i="3"/>
  <c r="AB12" i="3"/>
  <c r="Z12" i="3"/>
  <c r="Y12" i="3"/>
  <c r="W12" i="3"/>
  <c r="V12" i="3"/>
  <c r="T12" i="3"/>
  <c r="S12" i="3"/>
  <c r="AC11" i="3"/>
  <c r="AB11" i="3"/>
  <c r="Z11" i="3"/>
  <c r="Y11" i="3"/>
  <c r="W11" i="3"/>
  <c r="V11" i="3"/>
  <c r="T11" i="3"/>
  <c r="S11" i="3"/>
  <c r="AC10" i="3"/>
  <c r="AB10" i="3"/>
  <c r="Z10" i="3"/>
  <c r="Y10" i="3"/>
  <c r="W10" i="3"/>
  <c r="V10" i="3"/>
  <c r="T10" i="3"/>
  <c r="S10" i="3"/>
  <c r="AC9" i="3"/>
  <c r="AB9" i="3"/>
  <c r="Z9" i="3"/>
  <c r="Y9" i="3"/>
  <c r="W9" i="3"/>
  <c r="V9" i="3"/>
  <c r="T9" i="3"/>
  <c r="S9" i="3"/>
  <c r="AC8" i="3"/>
  <c r="AB8" i="3"/>
  <c r="Z8" i="3"/>
  <c r="Y8" i="3"/>
  <c r="W8" i="3"/>
  <c r="V8" i="3"/>
  <c r="T8" i="3"/>
  <c r="S8" i="3"/>
  <c r="AC7" i="3"/>
  <c r="AB7" i="3"/>
  <c r="Z7" i="3"/>
  <c r="Y7" i="3"/>
  <c r="W7" i="3"/>
  <c r="V7" i="3"/>
  <c r="T7" i="3"/>
  <c r="S7" i="3"/>
  <c r="AL37" i="1" l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C145" i="2" l="1"/>
  <c r="AC141" i="2"/>
  <c r="AC137" i="2"/>
  <c r="AC133" i="2"/>
  <c r="AC129" i="2"/>
  <c r="AC125" i="2"/>
  <c r="AC121" i="2"/>
  <c r="AC117" i="2"/>
  <c r="AC113" i="2"/>
  <c r="AC109" i="2"/>
  <c r="AC105" i="2"/>
  <c r="AC101" i="2"/>
  <c r="AC97" i="2"/>
  <c r="AC93" i="2"/>
  <c r="AC89" i="2"/>
  <c r="AC85" i="2"/>
  <c r="AC81" i="2"/>
  <c r="AC77" i="2"/>
  <c r="AC73" i="2"/>
  <c r="AC69" i="2"/>
  <c r="AC65" i="2"/>
  <c r="AC61" i="2"/>
  <c r="AC57" i="2"/>
  <c r="AC53" i="2"/>
  <c r="AC49" i="2"/>
  <c r="AC45" i="2"/>
  <c r="AC41" i="2"/>
  <c r="AC37" i="2"/>
  <c r="AC144" i="2"/>
  <c r="AC140" i="2"/>
  <c r="AC136" i="2"/>
  <c r="AC132" i="2"/>
  <c r="AC128" i="2"/>
  <c r="AC124" i="2"/>
  <c r="AC120" i="2"/>
  <c r="AC116" i="2"/>
  <c r="AC112" i="2"/>
  <c r="AC108" i="2"/>
  <c r="AC104" i="2"/>
  <c r="AC100" i="2"/>
  <c r="AC96" i="2"/>
  <c r="AC92" i="2"/>
  <c r="AC88" i="2"/>
  <c r="AC84" i="2"/>
  <c r="AC80" i="2"/>
  <c r="AC76" i="2"/>
  <c r="AC72" i="2"/>
  <c r="AC68" i="2"/>
  <c r="AC64" i="2"/>
  <c r="AC60" i="2"/>
  <c r="AC56" i="2"/>
  <c r="AC52" i="2"/>
  <c r="AC48" i="2"/>
  <c r="AC44" i="2"/>
  <c r="AC40" i="2"/>
  <c r="AC142" i="2"/>
  <c r="AC138" i="2"/>
  <c r="AC134" i="2"/>
  <c r="AC130" i="2"/>
  <c r="AC126" i="2"/>
  <c r="AC122" i="2"/>
  <c r="AC118" i="2"/>
  <c r="AC114" i="2"/>
  <c r="AC110" i="2"/>
  <c r="AC106" i="2"/>
  <c r="AC102" i="2"/>
  <c r="AC98" i="2"/>
  <c r="AC94" i="2"/>
  <c r="AC90" i="2"/>
  <c r="AC86" i="2"/>
  <c r="AC82" i="2"/>
  <c r="AC78" i="2"/>
  <c r="AC74" i="2"/>
  <c r="AC70" i="2"/>
  <c r="AC66" i="2"/>
  <c r="AC62" i="2"/>
  <c r="AC58" i="2"/>
  <c r="AC54" i="2"/>
  <c r="AC50" i="2"/>
  <c r="AC46" i="2"/>
  <c r="AC42" i="2"/>
  <c r="AC38" i="2"/>
  <c r="AC143" i="2"/>
  <c r="AC139" i="2"/>
  <c r="AC135" i="2"/>
  <c r="AC131" i="2"/>
  <c r="AC127" i="2"/>
  <c r="AC123" i="2"/>
  <c r="AC119" i="2"/>
  <c r="AC115" i="2"/>
  <c r="AC111" i="2"/>
  <c r="AC107" i="2"/>
  <c r="AC103" i="2"/>
  <c r="AC99" i="2"/>
  <c r="AC95" i="2"/>
  <c r="AC91" i="2"/>
  <c r="AC87" i="2"/>
  <c r="AC83" i="2"/>
  <c r="AC79" i="2"/>
  <c r="AC75" i="2"/>
  <c r="AC71" i="2"/>
  <c r="AC67" i="2"/>
  <c r="AC63" i="2"/>
  <c r="AC59" i="2"/>
  <c r="AC55" i="2"/>
  <c r="AC51" i="2"/>
  <c r="AC47" i="2"/>
  <c r="AC43" i="2"/>
  <c r="AC39" i="2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B100" i="2" l="1"/>
  <c r="AB92" i="2"/>
  <c r="AB84" i="2"/>
  <c r="AB76" i="2"/>
  <c r="AB68" i="2"/>
  <c r="AB60" i="2"/>
  <c r="AB96" i="2"/>
  <c r="AB80" i="2"/>
  <c r="AB64" i="2"/>
  <c r="AB104" i="2"/>
  <c r="AB88" i="2"/>
  <c r="AB72" i="2"/>
  <c r="AB56" i="2"/>
  <c r="AB107" i="2"/>
  <c r="AB103" i="2"/>
  <c r="AB99" i="2"/>
  <c r="AB95" i="2"/>
  <c r="AB91" i="2"/>
  <c r="AB87" i="2"/>
  <c r="AB83" i="2"/>
  <c r="AB79" i="2"/>
  <c r="AB75" i="2"/>
  <c r="AB71" i="2"/>
  <c r="AB67" i="2"/>
  <c r="AB63" i="2"/>
  <c r="AB59" i="2"/>
  <c r="AB55" i="2"/>
  <c r="AB51" i="2"/>
  <c r="AB47" i="2"/>
  <c r="AB43" i="2"/>
  <c r="AB39" i="2"/>
  <c r="AB35" i="2"/>
  <c r="AB52" i="2"/>
  <c r="AB48" i="2"/>
  <c r="AB44" i="2"/>
  <c r="AB40" i="2"/>
  <c r="AB36" i="2"/>
  <c r="AB106" i="2"/>
  <c r="AB102" i="2"/>
  <c r="AB98" i="2"/>
  <c r="AB94" i="2"/>
  <c r="AB90" i="2"/>
  <c r="AB86" i="2"/>
  <c r="AB82" i="2"/>
  <c r="AB78" i="2"/>
  <c r="AB74" i="2"/>
  <c r="AB70" i="2"/>
  <c r="AB66" i="2"/>
  <c r="AB62" i="2"/>
  <c r="AB58" i="2"/>
  <c r="AB54" i="2"/>
  <c r="AB50" i="2"/>
  <c r="AB46" i="2"/>
  <c r="AB42" i="2"/>
  <c r="AB38" i="2"/>
  <c r="AB34" i="2"/>
  <c r="AB105" i="2"/>
  <c r="AB101" i="2"/>
  <c r="AB97" i="2"/>
  <c r="AB93" i="2"/>
  <c r="AB89" i="2"/>
  <c r="AB85" i="2"/>
  <c r="AB81" i="2"/>
  <c r="AB77" i="2"/>
  <c r="AB73" i="2"/>
  <c r="AB69" i="2"/>
  <c r="AB65" i="2"/>
  <c r="AB61" i="2"/>
  <c r="AB57" i="2"/>
  <c r="AB53" i="2"/>
  <c r="AB49" i="2"/>
  <c r="AB45" i="2"/>
  <c r="AB41" i="2"/>
  <c r="AB37" i="2"/>
  <c r="AB33" i="2"/>
  <c r="Z59" i="2"/>
  <c r="Z60" i="2"/>
  <c r="Z63" i="2"/>
  <c r="Z64" i="2"/>
  <c r="Z67" i="2"/>
  <c r="Z68" i="2"/>
  <c r="Z71" i="2"/>
  <c r="Z72" i="2"/>
  <c r="Z75" i="2"/>
  <c r="Z76" i="2"/>
  <c r="Z79" i="2"/>
  <c r="Z80" i="2"/>
  <c r="Z83" i="2"/>
  <c r="Z84" i="2"/>
  <c r="Z87" i="2"/>
  <c r="Z88" i="2"/>
  <c r="Z91" i="2"/>
  <c r="Z92" i="2"/>
  <c r="Z95" i="2"/>
  <c r="Z96" i="2"/>
  <c r="Z99" i="2"/>
  <c r="Z100" i="2"/>
  <c r="Z103" i="2"/>
  <c r="Z104" i="2"/>
  <c r="Z107" i="2"/>
  <c r="Z108" i="2"/>
  <c r="Z111" i="2"/>
  <c r="Z112" i="2"/>
  <c r="Z115" i="2"/>
  <c r="Z116" i="2"/>
  <c r="Z119" i="2"/>
  <c r="Z120" i="2"/>
  <c r="Z123" i="2"/>
  <c r="Z124" i="2"/>
  <c r="Z127" i="2"/>
  <c r="Z128" i="2"/>
  <c r="Z131" i="2"/>
  <c r="Z132" i="2"/>
  <c r="Z135" i="2"/>
  <c r="Z136" i="2"/>
  <c r="Z139" i="2"/>
  <c r="Z140" i="2"/>
  <c r="Z143" i="2"/>
  <c r="Z144" i="2"/>
  <c r="Z142" i="2" l="1"/>
  <c r="Z138" i="2"/>
  <c r="Z134" i="2"/>
  <c r="Z130" i="2"/>
  <c r="Z126" i="2"/>
  <c r="Z122" i="2"/>
  <c r="Z118" i="2"/>
  <c r="Z114" i="2"/>
  <c r="Z110" i="2"/>
  <c r="Z106" i="2"/>
  <c r="Z102" i="2"/>
  <c r="Z98" i="2"/>
  <c r="Z94" i="2"/>
  <c r="Z90" i="2"/>
  <c r="Z86" i="2"/>
  <c r="Z82" i="2"/>
  <c r="Z78" i="2"/>
  <c r="Z74" i="2"/>
  <c r="Z70" i="2"/>
  <c r="Z66" i="2"/>
  <c r="Z62" i="2"/>
  <c r="Z58" i="2"/>
  <c r="Z145" i="2"/>
  <c r="Z141" i="2"/>
  <c r="Z137" i="2"/>
  <c r="Z133" i="2"/>
  <c r="Z129" i="2"/>
  <c r="Z125" i="2"/>
  <c r="Z121" i="2"/>
  <c r="Z117" i="2"/>
  <c r="Z113" i="2"/>
  <c r="Z109" i="2"/>
  <c r="Z105" i="2"/>
  <c r="Z101" i="2"/>
  <c r="Z97" i="2"/>
  <c r="Z93" i="2"/>
  <c r="Z89" i="2"/>
  <c r="Z85" i="2"/>
  <c r="Z81" i="2"/>
  <c r="Z77" i="2"/>
  <c r="Z73" i="2"/>
  <c r="Z69" i="2"/>
  <c r="Z65" i="2"/>
  <c r="Z61" i="2"/>
  <c r="Z57" i="2"/>
  <c r="S145" i="3"/>
  <c r="B145" i="3"/>
  <c r="S141" i="3"/>
  <c r="B141" i="3"/>
  <c r="S133" i="3"/>
  <c r="B133" i="3"/>
  <c r="S117" i="3"/>
  <c r="B117" i="3"/>
  <c r="S109" i="3"/>
  <c r="B109" i="3"/>
  <c r="S142" i="3"/>
  <c r="B142" i="3"/>
  <c r="S138" i="3"/>
  <c r="B138" i="3"/>
  <c r="S134" i="3"/>
  <c r="B134" i="3"/>
  <c r="S118" i="3"/>
  <c r="B118" i="3"/>
  <c r="B114" i="3"/>
  <c r="S114" i="3"/>
  <c r="S110" i="3"/>
  <c r="B110" i="3"/>
  <c r="S106" i="3"/>
  <c r="B106" i="3"/>
  <c r="S143" i="3"/>
  <c r="B143" i="3"/>
  <c r="S131" i="3"/>
  <c r="B131" i="3"/>
  <c r="S115" i="3"/>
  <c r="B115" i="3"/>
  <c r="S139" i="3"/>
  <c r="B139" i="3"/>
  <c r="S135" i="3"/>
  <c r="B135" i="3"/>
  <c r="S119" i="3"/>
  <c r="B119" i="3"/>
  <c r="B111" i="3"/>
  <c r="S111" i="3"/>
  <c r="B107" i="3"/>
  <c r="S107" i="3"/>
  <c r="S144" i="3"/>
  <c r="B144" i="3"/>
  <c r="S140" i="3"/>
  <c r="B140" i="3"/>
  <c r="S136" i="3"/>
  <c r="B136" i="3"/>
  <c r="S132" i="3"/>
  <c r="B132" i="3"/>
  <c r="S116" i="3"/>
  <c r="B116" i="3"/>
  <c r="S112" i="3"/>
  <c r="B112" i="3"/>
  <c r="S108" i="3"/>
  <c r="B108" i="3"/>
  <c r="S137" i="3"/>
  <c r="B137" i="3"/>
  <c r="B113" i="3"/>
  <c r="S113" i="3"/>
  <c r="W36" i="2"/>
  <c r="AF36" i="2" s="1"/>
  <c r="W44" i="2"/>
  <c r="AF44" i="2" s="1"/>
  <c r="W52" i="2"/>
  <c r="AF52" i="2" s="1"/>
  <c r="W60" i="2"/>
  <c r="W68" i="2"/>
  <c r="W76" i="2"/>
  <c r="W84" i="2"/>
  <c r="W92" i="2"/>
  <c r="W100" i="2"/>
  <c r="W108" i="2"/>
  <c r="AF108" i="2" s="1"/>
  <c r="W116" i="2"/>
  <c r="AF116" i="2" s="1"/>
  <c r="W123" i="2"/>
  <c r="W124" i="2"/>
  <c r="W131" i="2"/>
  <c r="AF131" i="2" s="1"/>
  <c r="W132" i="2"/>
  <c r="AF132" i="2" s="1"/>
  <c r="W139" i="2"/>
  <c r="AF139" i="2" s="1"/>
  <c r="W140" i="2"/>
  <c r="AF140" i="2" s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W141" i="2" l="1"/>
  <c r="AF141" i="2" s="1"/>
  <c r="W133" i="2"/>
  <c r="AF133" i="2" s="1"/>
  <c r="W125" i="2"/>
  <c r="W117" i="2"/>
  <c r="AF117" i="2" s="1"/>
  <c r="W109" i="2"/>
  <c r="AF109" i="2" s="1"/>
  <c r="W101" i="2"/>
  <c r="W93" i="2"/>
  <c r="W85" i="2"/>
  <c r="W77" i="2"/>
  <c r="W69" i="2"/>
  <c r="W61" i="2"/>
  <c r="W53" i="2"/>
  <c r="AF53" i="2" s="1"/>
  <c r="W45" i="2"/>
  <c r="AF45" i="2" s="1"/>
  <c r="W37" i="2"/>
  <c r="AF37" i="2" s="1"/>
  <c r="W138" i="2"/>
  <c r="AF138" i="2" s="1"/>
  <c r="W130" i="2"/>
  <c r="W122" i="2"/>
  <c r="W114" i="2"/>
  <c r="AF114" i="2" s="1"/>
  <c r="W106" i="2"/>
  <c r="W98" i="2"/>
  <c r="W90" i="2"/>
  <c r="W82" i="2"/>
  <c r="W74" i="2"/>
  <c r="W66" i="2"/>
  <c r="W58" i="2"/>
  <c r="W50" i="2"/>
  <c r="AF50" i="2" s="1"/>
  <c r="W42" i="2"/>
  <c r="AF42" i="2" s="1"/>
  <c r="W34" i="2"/>
  <c r="AF34" i="2" s="1"/>
  <c r="W115" i="2"/>
  <c r="AF115" i="2" s="1"/>
  <c r="W107" i="2"/>
  <c r="AF107" i="2" s="1"/>
  <c r="W99" i="2"/>
  <c r="W91" i="2"/>
  <c r="W83" i="2"/>
  <c r="W75" i="2"/>
  <c r="W67" i="2"/>
  <c r="W59" i="2"/>
  <c r="W51" i="2"/>
  <c r="AF51" i="2" s="1"/>
  <c r="W43" i="2"/>
  <c r="AF43" i="2" s="1"/>
  <c r="W35" i="2"/>
  <c r="AF35" i="2" s="1"/>
  <c r="W137" i="2"/>
  <c r="AF137" i="2" s="1"/>
  <c r="W121" i="2"/>
  <c r="W97" i="2"/>
  <c r="W81" i="2"/>
  <c r="W65" i="2"/>
  <c r="W49" i="2"/>
  <c r="AF49" i="2" s="1"/>
  <c r="W33" i="2"/>
  <c r="AF33" i="2" s="1"/>
  <c r="W144" i="2"/>
  <c r="AF144" i="2" s="1"/>
  <c r="W136" i="2"/>
  <c r="AF136" i="2" s="1"/>
  <c r="W128" i="2"/>
  <c r="W120" i="2"/>
  <c r="W112" i="2"/>
  <c r="AF112" i="2" s="1"/>
  <c r="W104" i="2"/>
  <c r="W96" i="2"/>
  <c r="W88" i="2"/>
  <c r="W80" i="2"/>
  <c r="W72" i="2"/>
  <c r="W64" i="2"/>
  <c r="W56" i="2"/>
  <c r="AF56" i="2" s="1"/>
  <c r="W48" i="2"/>
  <c r="AF48" i="2" s="1"/>
  <c r="W40" i="2"/>
  <c r="AF40" i="2" s="1"/>
  <c r="W145" i="2"/>
  <c r="AF145" i="2" s="1"/>
  <c r="W129" i="2"/>
  <c r="W105" i="2"/>
  <c r="W89" i="2"/>
  <c r="W73" i="2"/>
  <c r="W57" i="2"/>
  <c r="W41" i="2"/>
  <c r="AF41" i="2" s="1"/>
  <c r="W143" i="2"/>
  <c r="AF143" i="2" s="1"/>
  <c r="W135" i="2"/>
  <c r="AF135" i="2" s="1"/>
  <c r="W127" i="2"/>
  <c r="W119" i="2"/>
  <c r="AF119" i="2" s="1"/>
  <c r="W111" i="2"/>
  <c r="AF111" i="2" s="1"/>
  <c r="W103" i="2"/>
  <c r="W95" i="2"/>
  <c r="W87" i="2"/>
  <c r="W79" i="2"/>
  <c r="W71" i="2"/>
  <c r="W63" i="2"/>
  <c r="W55" i="2"/>
  <c r="AF55" i="2" s="1"/>
  <c r="W47" i="2"/>
  <c r="AF47" i="2" s="1"/>
  <c r="W39" i="2"/>
  <c r="AF39" i="2" s="1"/>
  <c r="W113" i="2"/>
  <c r="AF113" i="2" s="1"/>
  <c r="W142" i="2"/>
  <c r="AF142" i="2" s="1"/>
  <c r="W134" i="2"/>
  <c r="AF134" i="2" s="1"/>
  <c r="W126" i="2"/>
  <c r="W118" i="2"/>
  <c r="AF118" i="2" s="1"/>
  <c r="W110" i="2"/>
  <c r="AF110" i="2" s="1"/>
  <c r="W102" i="2"/>
  <c r="W94" i="2"/>
  <c r="W86" i="2"/>
  <c r="W78" i="2"/>
  <c r="W70" i="2"/>
  <c r="W62" i="2"/>
  <c r="W54" i="2"/>
  <c r="AF54" i="2" s="1"/>
  <c r="W46" i="2"/>
  <c r="AF46" i="2" s="1"/>
  <c r="W38" i="2"/>
  <c r="AF38" i="2" s="1"/>
  <c r="AF106" i="2"/>
  <c r="N144" i="3"/>
  <c r="AB144" i="3"/>
  <c r="N136" i="3"/>
  <c r="AB136" i="3"/>
  <c r="N132" i="3"/>
  <c r="AB132" i="3"/>
  <c r="N116" i="3"/>
  <c r="AB116" i="3"/>
  <c r="N108" i="3"/>
  <c r="AB108" i="3"/>
  <c r="P138" i="3"/>
  <c r="AC138" i="3"/>
  <c r="AB145" i="3"/>
  <c r="N145" i="3"/>
  <c r="AB141" i="3"/>
  <c r="N141" i="3"/>
  <c r="AB137" i="3"/>
  <c r="N137" i="3"/>
  <c r="AB133" i="3"/>
  <c r="N133" i="3"/>
  <c r="AB117" i="3"/>
  <c r="N117" i="3"/>
  <c r="AB113" i="3"/>
  <c r="N113" i="3"/>
  <c r="AB109" i="3"/>
  <c r="N109" i="3"/>
  <c r="AC143" i="3"/>
  <c r="P143" i="3"/>
  <c r="AC139" i="3"/>
  <c r="P139" i="3"/>
  <c r="AC135" i="3"/>
  <c r="P135" i="3"/>
  <c r="AC131" i="3"/>
  <c r="P131" i="3"/>
  <c r="AC119" i="3"/>
  <c r="P119" i="3"/>
  <c r="AC115" i="3"/>
  <c r="P115" i="3"/>
  <c r="AC111" i="3"/>
  <c r="P111" i="3"/>
  <c r="AC107" i="3"/>
  <c r="P107" i="3"/>
  <c r="P55" i="3"/>
  <c r="AC55" i="3"/>
  <c r="P51" i="3"/>
  <c r="AC51" i="3"/>
  <c r="P47" i="3"/>
  <c r="AC47" i="3"/>
  <c r="P43" i="3"/>
  <c r="AC43" i="3"/>
  <c r="P39" i="3"/>
  <c r="AC39" i="3"/>
  <c r="P35" i="3"/>
  <c r="AC35" i="3"/>
  <c r="N134" i="3"/>
  <c r="AB134" i="3"/>
  <c r="N118" i="3"/>
  <c r="AB118" i="3"/>
  <c r="N110" i="3"/>
  <c r="AB110" i="3"/>
  <c r="P144" i="3"/>
  <c r="AC144" i="3"/>
  <c r="P136" i="3"/>
  <c r="AC136" i="3"/>
  <c r="P132" i="3"/>
  <c r="AC132" i="3"/>
  <c r="P116" i="3"/>
  <c r="AC116" i="3"/>
  <c r="P112" i="3"/>
  <c r="AC112" i="3"/>
  <c r="P108" i="3"/>
  <c r="AC108" i="3"/>
  <c r="P56" i="3"/>
  <c r="AC56" i="3"/>
  <c r="P52" i="3"/>
  <c r="AC52" i="3"/>
  <c r="P48" i="3"/>
  <c r="AC48" i="3"/>
  <c r="P44" i="3"/>
  <c r="AC44" i="3"/>
  <c r="P40" i="3"/>
  <c r="AC40" i="3"/>
  <c r="P36" i="3"/>
  <c r="AC36" i="3"/>
  <c r="N142" i="3"/>
  <c r="AB142" i="3"/>
  <c r="N138" i="3"/>
  <c r="AB138" i="3"/>
  <c r="N114" i="3"/>
  <c r="AB114" i="3"/>
  <c r="N106" i="3"/>
  <c r="AB106" i="3"/>
  <c r="P140" i="3"/>
  <c r="AC140" i="3"/>
  <c r="AB143" i="3"/>
  <c r="N143" i="3"/>
  <c r="AB139" i="3"/>
  <c r="N139" i="3"/>
  <c r="AB135" i="3"/>
  <c r="N135" i="3"/>
  <c r="AB131" i="3"/>
  <c r="N131" i="3"/>
  <c r="AB119" i="3"/>
  <c r="N119" i="3"/>
  <c r="AB115" i="3"/>
  <c r="N115" i="3"/>
  <c r="AB111" i="3"/>
  <c r="N111" i="3"/>
  <c r="AB107" i="3"/>
  <c r="N107" i="3"/>
  <c r="AC145" i="3"/>
  <c r="P145" i="3"/>
  <c r="AC141" i="3"/>
  <c r="P141" i="3"/>
  <c r="AC137" i="3"/>
  <c r="P137" i="3"/>
  <c r="AC133" i="3"/>
  <c r="P133" i="3"/>
  <c r="AC117" i="3"/>
  <c r="P117" i="3"/>
  <c r="AC113" i="3"/>
  <c r="P113" i="3"/>
  <c r="AC109" i="3"/>
  <c r="P109" i="3"/>
  <c r="AC53" i="3"/>
  <c r="P53" i="3"/>
  <c r="AC49" i="3"/>
  <c r="P49" i="3"/>
  <c r="AC45" i="3"/>
  <c r="P45" i="3"/>
  <c r="AC41" i="3"/>
  <c r="P41" i="3"/>
  <c r="AC37" i="3"/>
  <c r="P37" i="3"/>
  <c r="P33" i="3"/>
  <c r="AC33" i="3"/>
  <c r="N140" i="3"/>
  <c r="AB140" i="3"/>
  <c r="N112" i="3"/>
  <c r="AB112" i="3"/>
  <c r="P142" i="3"/>
  <c r="AC142" i="3"/>
  <c r="P134" i="3"/>
  <c r="AC134" i="3"/>
  <c r="P118" i="3"/>
  <c r="AC118" i="3"/>
  <c r="P114" i="3"/>
  <c r="AC114" i="3"/>
  <c r="P110" i="3"/>
  <c r="AC110" i="3"/>
  <c r="P106" i="3"/>
  <c r="AC106" i="3"/>
  <c r="AC54" i="3"/>
  <c r="P54" i="3"/>
  <c r="AC50" i="3"/>
  <c r="P50" i="3"/>
  <c r="AC46" i="3"/>
  <c r="P46" i="3"/>
  <c r="AC42" i="3"/>
  <c r="P42" i="3"/>
  <c r="AC38" i="3"/>
  <c r="P38" i="3"/>
  <c r="AC34" i="3"/>
  <c r="P34" i="3"/>
  <c r="J142" i="3"/>
  <c r="Y142" i="3"/>
  <c r="J134" i="3"/>
  <c r="Y134" i="3"/>
  <c r="J110" i="3"/>
  <c r="Y110" i="3"/>
  <c r="L140" i="3"/>
  <c r="Z140" i="3"/>
  <c r="L112" i="3"/>
  <c r="Z112" i="3"/>
  <c r="L48" i="3"/>
  <c r="Z48" i="3"/>
  <c r="L36" i="3"/>
  <c r="Z36" i="3"/>
  <c r="J145" i="3"/>
  <c r="Y145" i="3"/>
  <c r="J141" i="3"/>
  <c r="Y141" i="3"/>
  <c r="J137" i="3"/>
  <c r="Y137" i="3"/>
  <c r="J133" i="3"/>
  <c r="Y133" i="3"/>
  <c r="J117" i="3"/>
  <c r="Y117" i="3"/>
  <c r="J113" i="3"/>
  <c r="Y113" i="3"/>
  <c r="J109" i="3"/>
  <c r="Y109" i="3"/>
  <c r="L143" i="3"/>
  <c r="Z143" i="3"/>
  <c r="L139" i="3"/>
  <c r="Z139" i="3"/>
  <c r="L135" i="3"/>
  <c r="Z135" i="3"/>
  <c r="L131" i="3"/>
  <c r="Z131" i="3"/>
  <c r="L119" i="3"/>
  <c r="Z119" i="3"/>
  <c r="L115" i="3"/>
  <c r="Z115" i="3"/>
  <c r="L111" i="3"/>
  <c r="Z111" i="3"/>
  <c r="L107" i="3"/>
  <c r="Z107" i="3"/>
  <c r="L55" i="3"/>
  <c r="Z55" i="3"/>
  <c r="L51" i="3"/>
  <c r="Z51" i="3"/>
  <c r="L47" i="3"/>
  <c r="Z47" i="3"/>
  <c r="L43" i="3"/>
  <c r="Z43" i="3"/>
  <c r="L39" i="3"/>
  <c r="Z39" i="3"/>
  <c r="L35" i="3"/>
  <c r="Z35" i="3"/>
  <c r="J118" i="3"/>
  <c r="Y118" i="3"/>
  <c r="J106" i="3"/>
  <c r="Y106" i="3"/>
  <c r="L144" i="3"/>
  <c r="Z144" i="3"/>
  <c r="L132" i="3"/>
  <c r="Z132" i="3"/>
  <c r="L116" i="3"/>
  <c r="Z116" i="3"/>
  <c r="Z56" i="3"/>
  <c r="L56" i="3"/>
  <c r="Z44" i="3"/>
  <c r="L44" i="3"/>
  <c r="J143" i="3"/>
  <c r="Y143" i="3"/>
  <c r="J139" i="3"/>
  <c r="Y139" i="3"/>
  <c r="J135" i="3"/>
  <c r="Y135" i="3"/>
  <c r="J131" i="3"/>
  <c r="Y131" i="3"/>
  <c r="J119" i="3"/>
  <c r="Y119" i="3"/>
  <c r="J115" i="3"/>
  <c r="Y115" i="3"/>
  <c r="J111" i="3"/>
  <c r="Y111" i="3"/>
  <c r="J107" i="3"/>
  <c r="Y107" i="3"/>
  <c r="L145" i="3"/>
  <c r="Z145" i="3"/>
  <c r="L141" i="3"/>
  <c r="Z141" i="3"/>
  <c r="L137" i="3"/>
  <c r="Z137" i="3"/>
  <c r="L133" i="3"/>
  <c r="Z133" i="3"/>
  <c r="L117" i="3"/>
  <c r="Z117" i="3"/>
  <c r="L113" i="3"/>
  <c r="Z113" i="3"/>
  <c r="Z109" i="3"/>
  <c r="L109" i="3"/>
  <c r="L53" i="3"/>
  <c r="Z53" i="3"/>
  <c r="L49" i="3"/>
  <c r="Z49" i="3"/>
  <c r="L45" i="3"/>
  <c r="Z45" i="3"/>
  <c r="L41" i="3"/>
  <c r="Z41" i="3"/>
  <c r="L37" i="3"/>
  <c r="Z37" i="3"/>
  <c r="L33" i="3"/>
  <c r="Z33" i="3"/>
  <c r="J138" i="3"/>
  <c r="Y138" i="3"/>
  <c r="J114" i="3"/>
  <c r="Y114" i="3"/>
  <c r="L136" i="3"/>
  <c r="Z136" i="3"/>
  <c r="L108" i="3"/>
  <c r="Z108" i="3"/>
  <c r="Z52" i="3"/>
  <c r="L52" i="3"/>
  <c r="L40" i="3"/>
  <c r="Z40" i="3"/>
  <c r="J144" i="3"/>
  <c r="Y144" i="3"/>
  <c r="J140" i="3"/>
  <c r="Y140" i="3"/>
  <c r="J136" i="3"/>
  <c r="Y136" i="3"/>
  <c r="J132" i="3"/>
  <c r="Y132" i="3"/>
  <c r="J116" i="3"/>
  <c r="Y116" i="3"/>
  <c r="J112" i="3"/>
  <c r="Y112" i="3"/>
  <c r="J108" i="3"/>
  <c r="Y108" i="3"/>
  <c r="L142" i="3"/>
  <c r="Z142" i="3"/>
  <c r="L138" i="3"/>
  <c r="Z138" i="3"/>
  <c r="L134" i="3"/>
  <c r="Z134" i="3"/>
  <c r="L118" i="3"/>
  <c r="Z118" i="3"/>
  <c r="L114" i="3"/>
  <c r="Z114" i="3"/>
  <c r="L110" i="3"/>
  <c r="Z110" i="3"/>
  <c r="L106" i="3"/>
  <c r="Z106" i="3"/>
  <c r="L54" i="3"/>
  <c r="Z54" i="3"/>
  <c r="L50" i="3"/>
  <c r="Z50" i="3"/>
  <c r="L46" i="3"/>
  <c r="Z46" i="3"/>
  <c r="L42" i="3"/>
  <c r="Z42" i="3"/>
  <c r="Z38" i="3"/>
  <c r="L38" i="3"/>
  <c r="L34" i="3"/>
  <c r="Z34" i="3"/>
  <c r="F140" i="3"/>
  <c r="V140" i="3"/>
  <c r="F132" i="3"/>
  <c r="V132" i="3"/>
  <c r="F112" i="3"/>
  <c r="V112" i="3"/>
  <c r="H138" i="3"/>
  <c r="W138" i="3"/>
  <c r="H118" i="3"/>
  <c r="W118" i="3"/>
  <c r="H110" i="3"/>
  <c r="W110" i="3"/>
  <c r="W54" i="3"/>
  <c r="H54" i="3"/>
  <c r="W50" i="3"/>
  <c r="H50" i="3"/>
  <c r="W46" i="3"/>
  <c r="H46" i="3"/>
  <c r="W42" i="3"/>
  <c r="H42" i="3"/>
  <c r="W38" i="3"/>
  <c r="H38" i="3"/>
  <c r="V145" i="3"/>
  <c r="F145" i="3"/>
  <c r="V141" i="3"/>
  <c r="F141" i="3"/>
  <c r="V137" i="3"/>
  <c r="F137" i="3"/>
  <c r="V133" i="3"/>
  <c r="F133" i="3"/>
  <c r="V117" i="3"/>
  <c r="F117" i="3"/>
  <c r="V113" i="3"/>
  <c r="F113" i="3"/>
  <c r="V109" i="3"/>
  <c r="F109" i="3"/>
  <c r="W143" i="3"/>
  <c r="H143" i="3"/>
  <c r="W139" i="3"/>
  <c r="H139" i="3"/>
  <c r="W135" i="3"/>
  <c r="H135" i="3"/>
  <c r="W131" i="3"/>
  <c r="H131" i="3"/>
  <c r="W119" i="3"/>
  <c r="H119" i="3"/>
  <c r="W115" i="3"/>
  <c r="H115" i="3"/>
  <c r="W111" i="3"/>
  <c r="H111" i="3"/>
  <c r="W107" i="3"/>
  <c r="H107" i="3"/>
  <c r="H55" i="3"/>
  <c r="W55" i="3"/>
  <c r="H51" i="3"/>
  <c r="W51" i="3"/>
  <c r="H47" i="3"/>
  <c r="W47" i="3"/>
  <c r="W43" i="3"/>
  <c r="H43" i="3"/>
  <c r="H39" i="3"/>
  <c r="W39" i="3"/>
  <c r="W35" i="3"/>
  <c r="H35" i="3"/>
  <c r="F138" i="3"/>
  <c r="V138" i="3"/>
  <c r="F118" i="3"/>
  <c r="V118" i="3"/>
  <c r="F110" i="3"/>
  <c r="V110" i="3"/>
  <c r="H144" i="3"/>
  <c r="W144" i="3"/>
  <c r="H136" i="3"/>
  <c r="W136" i="3"/>
  <c r="H116" i="3"/>
  <c r="W116" i="3"/>
  <c r="H36" i="3"/>
  <c r="W36" i="3"/>
  <c r="F142" i="3"/>
  <c r="V142" i="3"/>
  <c r="F134" i="3"/>
  <c r="V134" i="3"/>
  <c r="F114" i="3"/>
  <c r="V114" i="3"/>
  <c r="F106" i="3"/>
  <c r="V106" i="3"/>
  <c r="H140" i="3"/>
  <c r="W140" i="3"/>
  <c r="H132" i="3"/>
  <c r="W132" i="3"/>
  <c r="H112" i="3"/>
  <c r="W112" i="3"/>
  <c r="H108" i="3"/>
  <c r="W108" i="3"/>
  <c r="H56" i="3"/>
  <c r="W56" i="3"/>
  <c r="H52" i="3"/>
  <c r="W52" i="3"/>
  <c r="H48" i="3"/>
  <c r="W48" i="3"/>
  <c r="H44" i="3"/>
  <c r="W44" i="3"/>
  <c r="H40" i="3"/>
  <c r="W40" i="3"/>
  <c r="V143" i="3"/>
  <c r="F143" i="3"/>
  <c r="V139" i="3"/>
  <c r="F139" i="3"/>
  <c r="V135" i="3"/>
  <c r="F135" i="3"/>
  <c r="V131" i="3"/>
  <c r="F131" i="3"/>
  <c r="V119" i="3"/>
  <c r="F119" i="3"/>
  <c r="V115" i="3"/>
  <c r="F115" i="3"/>
  <c r="V111" i="3"/>
  <c r="F111" i="3"/>
  <c r="V107" i="3"/>
  <c r="F107" i="3"/>
  <c r="W145" i="3"/>
  <c r="H145" i="3"/>
  <c r="W141" i="3"/>
  <c r="H141" i="3"/>
  <c r="W137" i="3"/>
  <c r="H137" i="3"/>
  <c r="W133" i="3"/>
  <c r="H133" i="3"/>
  <c r="W117" i="3"/>
  <c r="H117" i="3"/>
  <c r="W113" i="3"/>
  <c r="H113" i="3"/>
  <c r="W109" i="3"/>
  <c r="H109" i="3"/>
  <c r="H53" i="3"/>
  <c r="W53" i="3"/>
  <c r="H49" i="3"/>
  <c r="W49" i="3"/>
  <c r="H45" i="3"/>
  <c r="W45" i="3"/>
  <c r="H41" i="3"/>
  <c r="W41" i="3"/>
  <c r="H37" i="3"/>
  <c r="W37" i="3"/>
  <c r="H33" i="3"/>
  <c r="W33" i="3"/>
  <c r="F144" i="3"/>
  <c r="V144" i="3"/>
  <c r="F136" i="3"/>
  <c r="V136" i="3"/>
  <c r="F116" i="3"/>
  <c r="V116" i="3"/>
  <c r="F108" i="3"/>
  <c r="V108" i="3"/>
  <c r="H142" i="3"/>
  <c r="W142" i="3"/>
  <c r="H134" i="3"/>
  <c r="W134" i="3"/>
  <c r="H114" i="3"/>
  <c r="W114" i="3"/>
  <c r="H106" i="3"/>
  <c r="W106" i="3"/>
  <c r="H34" i="3"/>
  <c r="W34" i="3"/>
  <c r="D142" i="3"/>
  <c r="T142" i="3"/>
  <c r="D134" i="3"/>
  <c r="T134" i="3"/>
  <c r="D118" i="3"/>
  <c r="T118" i="3"/>
  <c r="D110" i="3"/>
  <c r="T110" i="3"/>
  <c r="T54" i="3"/>
  <c r="D54" i="3"/>
  <c r="D50" i="3"/>
  <c r="T50" i="3"/>
  <c r="T46" i="3"/>
  <c r="D46" i="3"/>
  <c r="D42" i="3"/>
  <c r="T42" i="3"/>
  <c r="D34" i="3"/>
  <c r="T34" i="3"/>
  <c r="D143" i="3"/>
  <c r="T143" i="3"/>
  <c r="D139" i="3"/>
  <c r="T139" i="3"/>
  <c r="D135" i="3"/>
  <c r="T135" i="3"/>
  <c r="D131" i="3"/>
  <c r="T131" i="3"/>
  <c r="D119" i="3"/>
  <c r="T119" i="3"/>
  <c r="D115" i="3"/>
  <c r="T115" i="3"/>
  <c r="D111" i="3"/>
  <c r="T111" i="3"/>
  <c r="D107" i="3"/>
  <c r="T107" i="3"/>
  <c r="D55" i="3"/>
  <c r="T55" i="3"/>
  <c r="D51" i="3"/>
  <c r="T51" i="3"/>
  <c r="D47" i="3"/>
  <c r="T47" i="3"/>
  <c r="D43" i="3"/>
  <c r="T43" i="3"/>
  <c r="D39" i="3"/>
  <c r="T39" i="3"/>
  <c r="D35" i="3"/>
  <c r="T35" i="3"/>
  <c r="D140" i="3"/>
  <c r="T140" i="3"/>
  <c r="D132" i="3"/>
  <c r="T132" i="3"/>
  <c r="D116" i="3"/>
  <c r="T116" i="3"/>
  <c r="D108" i="3"/>
  <c r="T108" i="3"/>
  <c r="D40" i="3"/>
  <c r="T40" i="3"/>
  <c r="D144" i="3"/>
  <c r="T144" i="3"/>
  <c r="D136" i="3"/>
  <c r="T136" i="3"/>
  <c r="D112" i="3"/>
  <c r="T112" i="3"/>
  <c r="D56" i="3"/>
  <c r="T56" i="3"/>
  <c r="D52" i="3"/>
  <c r="T52" i="3"/>
  <c r="D48" i="3"/>
  <c r="T48" i="3"/>
  <c r="D44" i="3"/>
  <c r="T44" i="3"/>
  <c r="D36" i="3"/>
  <c r="T36" i="3"/>
  <c r="D145" i="3"/>
  <c r="T145" i="3"/>
  <c r="D141" i="3"/>
  <c r="T141" i="3"/>
  <c r="D137" i="3"/>
  <c r="T137" i="3"/>
  <c r="D133" i="3"/>
  <c r="T133" i="3"/>
  <c r="D117" i="3"/>
  <c r="T117" i="3"/>
  <c r="D113" i="3"/>
  <c r="T113" i="3"/>
  <c r="D109" i="3"/>
  <c r="T109" i="3"/>
  <c r="D53" i="3"/>
  <c r="T53" i="3"/>
  <c r="T49" i="3"/>
  <c r="D49" i="3"/>
  <c r="D45" i="3"/>
  <c r="T45" i="3"/>
  <c r="T41" i="3"/>
  <c r="D41" i="3"/>
  <c r="D37" i="3"/>
  <c r="T37" i="3"/>
  <c r="T33" i="3"/>
  <c r="D33" i="3"/>
  <c r="D138" i="3"/>
  <c r="T138" i="3"/>
  <c r="D114" i="3"/>
  <c r="T114" i="3"/>
  <c r="D106" i="3"/>
  <c r="T106" i="3"/>
  <c r="T38" i="3"/>
  <c r="D38" i="3"/>
  <c r="AA32" i="1" l="1"/>
  <c r="AA31" i="1"/>
  <c r="AA30" i="1"/>
  <c r="AA29" i="1"/>
  <c r="AA28" i="1"/>
  <c r="AA27" i="1"/>
  <c r="AA26" i="1"/>
  <c r="AA25" i="1"/>
  <c r="AA24" i="1"/>
  <c r="AA23" i="1"/>
  <c r="AA22" i="1"/>
  <c r="AA21" i="1"/>
  <c r="AA20" i="1"/>
  <c r="AA19" i="1"/>
  <c r="AA18" i="1"/>
  <c r="AA17" i="1"/>
  <c r="AA16" i="1"/>
  <c r="AA15" i="1"/>
  <c r="AA14" i="1"/>
  <c r="AA13" i="1"/>
  <c r="AA12" i="1"/>
  <c r="AA11" i="1"/>
  <c r="AA10" i="1"/>
  <c r="AA9" i="1"/>
  <c r="AA8" i="1"/>
  <c r="AA7" i="1"/>
  <c r="V32" i="1"/>
  <c r="V31" i="1"/>
  <c r="V30" i="1"/>
  <c r="V29" i="1"/>
  <c r="V28" i="1"/>
  <c r="V27" i="1"/>
  <c r="V26" i="1"/>
  <c r="V25" i="1"/>
  <c r="V134" i="1" l="1"/>
  <c r="V122" i="1"/>
  <c r="V110" i="1"/>
  <c r="V98" i="1"/>
  <c r="V82" i="1"/>
  <c r="V70" i="1"/>
  <c r="V58" i="1"/>
  <c r="V46" i="1"/>
  <c r="V34" i="1"/>
  <c r="V143" i="1"/>
  <c r="V131" i="1"/>
  <c r="V127" i="1"/>
  <c r="V123" i="1"/>
  <c r="V119" i="1"/>
  <c r="V115" i="1"/>
  <c r="V111" i="1"/>
  <c r="V107" i="1"/>
  <c r="V103" i="1"/>
  <c r="V99" i="1"/>
  <c r="V95" i="1"/>
  <c r="V91" i="1"/>
  <c r="V87" i="1"/>
  <c r="V83" i="1"/>
  <c r="V79" i="1"/>
  <c r="V75" i="1"/>
  <c r="V71" i="1"/>
  <c r="V67" i="1"/>
  <c r="V63" i="1"/>
  <c r="V59" i="1"/>
  <c r="V55" i="1"/>
  <c r="V51" i="1"/>
  <c r="V47" i="1"/>
  <c r="V43" i="1"/>
  <c r="V39" i="1"/>
  <c r="V35" i="1"/>
  <c r="V142" i="1"/>
  <c r="V130" i="1"/>
  <c r="V118" i="1"/>
  <c r="V106" i="1"/>
  <c r="V94" i="1"/>
  <c r="V78" i="1"/>
  <c r="V66" i="1"/>
  <c r="V54" i="1"/>
  <c r="V42" i="1"/>
  <c r="V139" i="1"/>
  <c r="V140" i="1"/>
  <c r="V132" i="1"/>
  <c r="V128" i="1"/>
  <c r="V120" i="1"/>
  <c r="V112" i="1"/>
  <c r="V104" i="1"/>
  <c r="V96" i="1"/>
  <c r="V92" i="1"/>
  <c r="V88" i="1"/>
  <c r="V84" i="1"/>
  <c r="V80" i="1"/>
  <c r="V76" i="1"/>
  <c r="V72" i="1"/>
  <c r="V68" i="1"/>
  <c r="V64" i="1"/>
  <c r="V60" i="1"/>
  <c r="V56" i="1"/>
  <c r="V52" i="1"/>
  <c r="V48" i="1"/>
  <c r="V44" i="1"/>
  <c r="V40" i="1"/>
  <c r="V36" i="1"/>
  <c r="V138" i="1"/>
  <c r="V126" i="1"/>
  <c r="V114" i="1"/>
  <c r="V102" i="1"/>
  <c r="V90" i="1"/>
  <c r="V86" i="1"/>
  <c r="V74" i="1"/>
  <c r="V62" i="1"/>
  <c r="V50" i="1"/>
  <c r="V38" i="1"/>
  <c r="V135" i="1"/>
  <c r="V144" i="1"/>
  <c r="V136" i="1"/>
  <c r="V124" i="1"/>
  <c r="V116" i="1"/>
  <c r="V108" i="1"/>
  <c r="V100" i="1"/>
  <c r="V145" i="1"/>
  <c r="V141" i="1"/>
  <c r="V137" i="1"/>
  <c r="V133" i="1"/>
  <c r="V129" i="1"/>
  <c r="V125" i="1"/>
  <c r="V121" i="1"/>
  <c r="V117" i="1"/>
  <c r="V113" i="1"/>
  <c r="V109" i="1"/>
  <c r="V105" i="1"/>
  <c r="V101" i="1"/>
  <c r="V97" i="1"/>
  <c r="V93" i="1"/>
  <c r="V89" i="1"/>
  <c r="V85" i="1"/>
  <c r="V81" i="1"/>
  <c r="V77" i="1"/>
  <c r="V73" i="1"/>
  <c r="V69" i="1"/>
  <c r="V65" i="1"/>
  <c r="V61" i="1"/>
  <c r="V57" i="1"/>
  <c r="V53" i="1"/>
  <c r="V49" i="1"/>
  <c r="V45" i="1"/>
  <c r="V41" i="1"/>
  <c r="V37" i="1"/>
  <c r="V33" i="1"/>
  <c r="Z122" i="1" l="1"/>
  <c r="Z121" i="1"/>
  <c r="B122" i="3" l="1"/>
  <c r="S122" i="3"/>
  <c r="S121" i="3"/>
  <c r="B121" i="3"/>
  <c r="Z123" i="1"/>
  <c r="F121" i="3"/>
  <c r="V121" i="3"/>
  <c r="Z124" i="1"/>
  <c r="S123" i="3" l="1"/>
  <c r="B123" i="3"/>
  <c r="B124" i="3"/>
  <c r="S124" i="3"/>
  <c r="F123" i="3"/>
  <c r="V123" i="3"/>
  <c r="V122" i="3"/>
  <c r="F122" i="3"/>
  <c r="Z125" i="1"/>
  <c r="S125" i="3" l="1"/>
  <c r="B125" i="3"/>
  <c r="V124" i="3"/>
  <c r="F124" i="3"/>
  <c r="Z126" i="1"/>
  <c r="S126" i="3" l="1"/>
  <c r="B126" i="3"/>
  <c r="V125" i="3"/>
  <c r="F125" i="3"/>
  <c r="Z127" i="1"/>
  <c r="V126" i="3" l="1"/>
  <c r="F126" i="3"/>
  <c r="S127" i="3"/>
  <c r="B127" i="3"/>
  <c r="Z128" i="1"/>
  <c r="S128" i="3" l="1"/>
  <c r="B128" i="3"/>
  <c r="V127" i="3"/>
  <c r="F127" i="3"/>
  <c r="Z129" i="1"/>
  <c r="B129" i="3" l="1"/>
  <c r="S129" i="3"/>
  <c r="F128" i="3"/>
  <c r="V128" i="3"/>
  <c r="Z130" i="1"/>
  <c r="B130" i="3" l="1"/>
  <c r="S130" i="3"/>
  <c r="F129" i="3"/>
  <c r="V129" i="3"/>
  <c r="F130" i="3" l="1"/>
  <c r="V130" i="3"/>
  <c r="J130" i="3" l="1"/>
  <c r="Y130" i="3"/>
  <c r="J126" i="3"/>
  <c r="Y126" i="3"/>
  <c r="Y122" i="3"/>
  <c r="J122" i="3"/>
  <c r="Y129" i="3"/>
  <c r="J129" i="3"/>
  <c r="J125" i="3"/>
  <c r="Y125" i="3"/>
  <c r="Y121" i="3"/>
  <c r="J121" i="3"/>
  <c r="J128" i="3"/>
  <c r="Y128" i="3"/>
  <c r="Y124" i="3"/>
  <c r="J124" i="3"/>
  <c r="Y127" i="3"/>
  <c r="J127" i="3"/>
  <c r="J123" i="3"/>
  <c r="Y123" i="3"/>
  <c r="AB125" i="3" l="1"/>
  <c r="N125" i="3"/>
  <c r="N129" i="3"/>
  <c r="AB129" i="3"/>
  <c r="AB122" i="3"/>
  <c r="N122" i="3"/>
  <c r="AB124" i="3"/>
  <c r="N124" i="3"/>
  <c r="AB126" i="3"/>
  <c r="N126" i="3"/>
  <c r="N128" i="3"/>
  <c r="AB128" i="3"/>
  <c r="N130" i="3"/>
  <c r="AB130" i="3"/>
  <c r="N121" i="3"/>
  <c r="AB121" i="3"/>
  <c r="N123" i="3"/>
  <c r="AB123" i="3"/>
  <c r="AB127" i="3"/>
  <c r="N127" i="3"/>
  <c r="AJ65" i="1" l="1"/>
  <c r="AJ64" i="1"/>
  <c r="AJ69" i="1"/>
  <c r="AJ59" i="1"/>
  <c r="AJ76" i="1"/>
  <c r="AJ68" i="1"/>
  <c r="AJ96" i="1"/>
  <c r="AJ73" i="1"/>
  <c r="L104" i="3" l="1"/>
  <c r="Z104" i="3"/>
  <c r="Z82" i="3"/>
  <c r="L82" i="3"/>
  <c r="Z105" i="3"/>
  <c r="L105" i="3"/>
  <c r="Z81" i="3"/>
  <c r="L81" i="3"/>
  <c r="Z92" i="3"/>
  <c r="L92" i="3"/>
  <c r="Y76" i="3"/>
  <c r="J76" i="3"/>
  <c r="L70" i="3"/>
  <c r="Z70" i="3"/>
  <c r="P86" i="3"/>
  <c r="AC86" i="3"/>
  <c r="D65" i="3"/>
  <c r="T65" i="3"/>
  <c r="Z57" i="3"/>
  <c r="L57" i="3"/>
  <c r="L77" i="3"/>
  <c r="Z77" i="3"/>
  <c r="L96" i="3"/>
  <c r="Z96" i="3"/>
  <c r="T96" i="3"/>
  <c r="D96" i="3"/>
  <c r="T68" i="3"/>
  <c r="D68" i="3"/>
  <c r="T73" i="3"/>
  <c r="D73" i="3"/>
  <c r="D59" i="3"/>
  <c r="T59" i="3"/>
  <c r="D76" i="3"/>
  <c r="T76" i="3"/>
  <c r="D69" i="3"/>
  <c r="T69" i="3"/>
  <c r="D64" i="3"/>
  <c r="T64" i="3"/>
  <c r="AJ101" i="1"/>
  <c r="Z73" i="1"/>
  <c r="Z104" i="1"/>
  <c r="AJ102" i="1"/>
  <c r="Z103" i="1"/>
  <c r="Z92" i="1"/>
  <c r="Z101" i="1"/>
  <c r="Z77" i="1"/>
  <c r="Z71" i="1"/>
  <c r="AA104" i="2"/>
  <c r="AF104" i="2" s="1"/>
  <c r="AJ104" i="1"/>
  <c r="Z102" i="1"/>
  <c r="AJ98" i="1"/>
  <c r="AJ103" i="1"/>
  <c r="Z97" i="1"/>
  <c r="AJ92" i="1"/>
  <c r="AA92" i="2"/>
  <c r="AF92" i="2" s="1"/>
  <c r="Z83" i="1"/>
  <c r="AJ81" i="1"/>
  <c r="Z82" i="1"/>
  <c r="Z78" i="1"/>
  <c r="Z120" i="1"/>
  <c r="AJ57" i="1"/>
  <c r="AJ91" i="1"/>
  <c r="Z75" i="1"/>
  <c r="Z94" i="1"/>
  <c r="Z95" i="1"/>
  <c r="AJ90" i="1"/>
  <c r="Z93" i="1"/>
  <c r="Z89" i="1"/>
  <c r="AA77" i="2"/>
  <c r="AF77" i="2" s="1"/>
  <c r="AJ77" i="1"/>
  <c r="Z79" i="1"/>
  <c r="Z100" i="1"/>
  <c r="Z88" i="1"/>
  <c r="Z85" i="1"/>
  <c r="Z98" i="1"/>
  <c r="AJ97" i="1"/>
  <c r="AJ83" i="1"/>
  <c r="Z81" i="1"/>
  <c r="AJ78" i="1"/>
  <c r="AJ120" i="1"/>
  <c r="Z57" i="1"/>
  <c r="Z91" i="1"/>
  <c r="AJ75" i="1"/>
  <c r="AJ94" i="1"/>
  <c r="AJ95" i="1"/>
  <c r="Z90" i="1"/>
  <c r="AJ93" i="1"/>
  <c r="AJ89" i="1"/>
  <c r="AJ79" i="1"/>
  <c r="AJ100" i="1"/>
  <c r="AJ88" i="1"/>
  <c r="AJ84" i="1"/>
  <c r="Z62" i="1"/>
  <c r="AA105" i="2"/>
  <c r="AF105" i="2" s="1"/>
  <c r="AJ105" i="1"/>
  <c r="Z87" i="1"/>
  <c r="Z67" i="1"/>
  <c r="AA96" i="2"/>
  <c r="AF96" i="2" s="1"/>
  <c r="Z99" i="1"/>
  <c r="Z80" i="1"/>
  <c r="AJ86" i="1"/>
  <c r="Z68" i="1"/>
  <c r="Z65" i="1"/>
  <c r="Z58" i="1"/>
  <c r="AJ82" i="1"/>
  <c r="Z66" i="1"/>
  <c r="AJ67" i="1"/>
  <c r="Z72" i="1"/>
  <c r="AJ58" i="1"/>
  <c r="Z76" i="1"/>
  <c r="AJ63" i="1"/>
  <c r="Z74" i="1"/>
  <c r="AJ70" i="1"/>
  <c r="AA70" i="2"/>
  <c r="AF70" i="2" s="1"/>
  <c r="Z84" i="1"/>
  <c r="Z105" i="1"/>
  <c r="AJ85" i="1"/>
  <c r="AJ87" i="1"/>
  <c r="AJ62" i="1"/>
  <c r="Z60" i="1"/>
  <c r="AJ71" i="1"/>
  <c r="Z96" i="1"/>
  <c r="AJ99" i="1"/>
  <c r="AJ80" i="1"/>
  <c r="Z86" i="1"/>
  <c r="Z61" i="1"/>
  <c r="Z70" i="1"/>
  <c r="Z59" i="1"/>
  <c r="AJ66" i="1"/>
  <c r="AJ72" i="1"/>
  <c r="Z63" i="1"/>
  <c r="AJ61" i="1"/>
  <c r="AJ74" i="1"/>
  <c r="Z69" i="1"/>
  <c r="Z64" i="1"/>
  <c r="AJ60" i="1"/>
  <c r="S64" i="3" l="1"/>
  <c r="B64" i="3"/>
  <c r="H61" i="3"/>
  <c r="W61" i="3"/>
  <c r="F61" i="3"/>
  <c r="V61" i="3"/>
  <c r="F96" i="3"/>
  <c r="V96" i="3"/>
  <c r="D87" i="3"/>
  <c r="T87" i="3"/>
  <c r="W76" i="3"/>
  <c r="H76" i="3"/>
  <c r="S72" i="3"/>
  <c r="B72" i="3"/>
  <c r="S65" i="3"/>
  <c r="B65" i="3"/>
  <c r="F99" i="3"/>
  <c r="V99" i="3"/>
  <c r="W84" i="3"/>
  <c r="H84" i="3"/>
  <c r="W88" i="3"/>
  <c r="H88" i="3"/>
  <c r="V90" i="3"/>
  <c r="F90" i="3"/>
  <c r="H83" i="3"/>
  <c r="W83" i="3"/>
  <c r="AB64" i="3"/>
  <c r="N64" i="3"/>
  <c r="T77" i="3"/>
  <c r="D77" i="3"/>
  <c r="S95" i="3"/>
  <c r="B95" i="3"/>
  <c r="T91" i="3"/>
  <c r="D91" i="3"/>
  <c r="AC81" i="3"/>
  <c r="P81" i="3"/>
  <c r="F97" i="3"/>
  <c r="V97" i="3"/>
  <c r="W104" i="3"/>
  <c r="H104" i="3"/>
  <c r="B77" i="3"/>
  <c r="S77" i="3"/>
  <c r="V103" i="3"/>
  <c r="F103" i="3"/>
  <c r="F73" i="3"/>
  <c r="V73" i="3"/>
  <c r="AA88" i="2"/>
  <c r="AF88" i="2" s="1"/>
  <c r="L88" i="3"/>
  <c r="Z88" i="3"/>
  <c r="AC95" i="3"/>
  <c r="P95" i="3"/>
  <c r="H120" i="3"/>
  <c r="W120" i="3"/>
  <c r="T60" i="3"/>
  <c r="D60" i="3"/>
  <c r="H74" i="3"/>
  <c r="W74" i="3"/>
  <c r="H66" i="3"/>
  <c r="W66" i="3"/>
  <c r="B59" i="3"/>
  <c r="S59" i="3"/>
  <c r="B86" i="3"/>
  <c r="S86" i="3"/>
  <c r="D71" i="3"/>
  <c r="T71" i="3"/>
  <c r="T62" i="3"/>
  <c r="D62" i="3"/>
  <c r="H85" i="3"/>
  <c r="W85" i="3"/>
  <c r="S84" i="3"/>
  <c r="B84" i="3"/>
  <c r="H68" i="3"/>
  <c r="W68" i="3"/>
  <c r="V74" i="3"/>
  <c r="F74" i="3"/>
  <c r="D63" i="3"/>
  <c r="T63" i="3"/>
  <c r="V72" i="3"/>
  <c r="F72" i="3"/>
  <c r="D67" i="3"/>
  <c r="T67" i="3"/>
  <c r="T82" i="3"/>
  <c r="D82" i="3"/>
  <c r="F58" i="3"/>
  <c r="V58" i="3"/>
  <c r="F68" i="3"/>
  <c r="V68" i="3"/>
  <c r="H86" i="3"/>
  <c r="W86" i="3"/>
  <c r="F67" i="3"/>
  <c r="V67" i="3"/>
  <c r="W105" i="3"/>
  <c r="H105" i="3"/>
  <c r="S62" i="3"/>
  <c r="B62" i="3"/>
  <c r="AA74" i="2"/>
  <c r="AF74" i="2" s="1"/>
  <c r="Z74" i="3"/>
  <c r="L74" i="3"/>
  <c r="AC87" i="3"/>
  <c r="P87" i="3"/>
  <c r="Y84" i="3"/>
  <c r="J84" i="3"/>
  <c r="T100" i="3"/>
  <c r="D100" i="3"/>
  <c r="W89" i="3"/>
  <c r="H89" i="3"/>
  <c r="D95" i="3"/>
  <c r="T95" i="3"/>
  <c r="T75" i="3"/>
  <c r="D75" i="3"/>
  <c r="B91" i="3"/>
  <c r="S91" i="3"/>
  <c r="D78" i="3"/>
  <c r="T78" i="3"/>
  <c r="D97" i="3"/>
  <c r="T97" i="3"/>
  <c r="AA60" i="2"/>
  <c r="AF60" i="2" s="1"/>
  <c r="Z60" i="3"/>
  <c r="L60" i="3"/>
  <c r="AA61" i="2"/>
  <c r="AF61" i="2" s="1"/>
  <c r="L61" i="3"/>
  <c r="Z61" i="3"/>
  <c r="J70" i="3"/>
  <c r="Y70" i="3"/>
  <c r="P85" i="3"/>
  <c r="AC85" i="3"/>
  <c r="V88" i="3"/>
  <c r="F88" i="3"/>
  <c r="B100" i="3"/>
  <c r="S100" i="3"/>
  <c r="H77" i="3"/>
  <c r="W77" i="3"/>
  <c r="F89" i="3"/>
  <c r="V89" i="3"/>
  <c r="V93" i="3"/>
  <c r="F93" i="3"/>
  <c r="V94" i="3"/>
  <c r="F94" i="3"/>
  <c r="B75" i="3"/>
  <c r="S75" i="3"/>
  <c r="W57" i="3"/>
  <c r="H57" i="3"/>
  <c r="B120" i="3"/>
  <c r="S120" i="3"/>
  <c r="D81" i="3"/>
  <c r="T81" i="3"/>
  <c r="S83" i="3"/>
  <c r="B83" i="3"/>
  <c r="D98" i="3"/>
  <c r="T98" i="3"/>
  <c r="B102" i="3"/>
  <c r="S102" i="3"/>
  <c r="V77" i="3"/>
  <c r="F77" i="3"/>
  <c r="B101" i="3"/>
  <c r="S101" i="3"/>
  <c r="T102" i="3"/>
  <c r="D102" i="3"/>
  <c r="H101" i="3"/>
  <c r="W101" i="3"/>
  <c r="AA100" i="2"/>
  <c r="AF100" i="2" s="1"/>
  <c r="Z100" i="3"/>
  <c r="L100" i="3"/>
  <c r="AA93" i="2"/>
  <c r="AF93" i="2" s="1"/>
  <c r="L93" i="3"/>
  <c r="Z93" i="3"/>
  <c r="AA75" i="2"/>
  <c r="AF75" i="2" s="1"/>
  <c r="Z75" i="3"/>
  <c r="L75" i="3"/>
  <c r="AJ121" i="1"/>
  <c r="AA81" i="2"/>
  <c r="AF81" i="2" s="1"/>
  <c r="H60" i="3"/>
  <c r="W60" i="3"/>
  <c r="H72" i="3"/>
  <c r="W72" i="3"/>
  <c r="F105" i="3"/>
  <c r="V105" i="3"/>
  <c r="P70" i="3"/>
  <c r="AC70" i="3"/>
  <c r="V76" i="3"/>
  <c r="F76" i="3"/>
  <c r="S66" i="3"/>
  <c r="B66" i="3"/>
  <c r="S68" i="3"/>
  <c r="B68" i="3"/>
  <c r="S67" i="3"/>
  <c r="B67" i="3"/>
  <c r="P72" i="3"/>
  <c r="AC72" i="3"/>
  <c r="D120" i="3"/>
  <c r="T120" i="3"/>
  <c r="AC66" i="3"/>
  <c r="P66" i="3"/>
  <c r="W90" i="3"/>
  <c r="H90" i="3"/>
  <c r="AC57" i="3"/>
  <c r="P57" i="3"/>
  <c r="B82" i="3"/>
  <c r="S82" i="3"/>
  <c r="AC92" i="3"/>
  <c r="P92" i="3"/>
  <c r="H98" i="3"/>
  <c r="W98" i="3"/>
  <c r="B71" i="3"/>
  <c r="S71" i="3"/>
  <c r="AC89" i="3"/>
  <c r="P89" i="3"/>
  <c r="AC97" i="3"/>
  <c r="P97" i="3"/>
  <c r="V69" i="3"/>
  <c r="F69" i="3"/>
  <c r="T74" i="3"/>
  <c r="D74" i="3"/>
  <c r="F70" i="3"/>
  <c r="V70" i="3"/>
  <c r="T80" i="3"/>
  <c r="D80" i="3"/>
  <c r="W71" i="3"/>
  <c r="H71" i="3"/>
  <c r="T85" i="3"/>
  <c r="D85" i="3"/>
  <c r="W73" i="3"/>
  <c r="H73" i="3"/>
  <c r="D70" i="3"/>
  <c r="T70" i="3"/>
  <c r="W63" i="3"/>
  <c r="H63" i="3"/>
  <c r="D58" i="3"/>
  <c r="T58" i="3"/>
  <c r="B58" i="3"/>
  <c r="S58" i="3"/>
  <c r="T86" i="3"/>
  <c r="D86" i="3"/>
  <c r="S87" i="3"/>
  <c r="B87" i="3"/>
  <c r="F62" i="3"/>
  <c r="V62" i="3"/>
  <c r="AC74" i="3"/>
  <c r="P74" i="3"/>
  <c r="AA87" i="2"/>
  <c r="AF87" i="2" s="1"/>
  <c r="L87" i="3"/>
  <c r="Z87" i="3"/>
  <c r="AB84" i="3"/>
  <c r="N84" i="3"/>
  <c r="W100" i="3"/>
  <c r="H100" i="3"/>
  <c r="D79" i="3"/>
  <c r="T79" i="3"/>
  <c r="T93" i="3"/>
  <c r="D93" i="3"/>
  <c r="W95" i="3"/>
  <c r="H95" i="3"/>
  <c r="H94" i="3"/>
  <c r="W94" i="3"/>
  <c r="F91" i="3"/>
  <c r="V91" i="3"/>
  <c r="V57" i="3"/>
  <c r="F57" i="3"/>
  <c r="W78" i="3"/>
  <c r="H78" i="3"/>
  <c r="B81" i="3"/>
  <c r="S81" i="3"/>
  <c r="W97" i="3"/>
  <c r="H97" i="3"/>
  <c r="S98" i="3"/>
  <c r="B98" i="3"/>
  <c r="AC60" i="3"/>
  <c r="P60" i="3"/>
  <c r="P61" i="3"/>
  <c r="AC61" i="3"/>
  <c r="N70" i="3"/>
  <c r="AB70" i="3"/>
  <c r="AA85" i="2"/>
  <c r="AF85" i="2" s="1"/>
  <c r="L85" i="3"/>
  <c r="Z85" i="3"/>
  <c r="B88" i="3"/>
  <c r="S88" i="3"/>
  <c r="F100" i="3"/>
  <c r="V100" i="3"/>
  <c r="B79" i="3"/>
  <c r="S79" i="3"/>
  <c r="S93" i="3"/>
  <c r="B93" i="3"/>
  <c r="T90" i="3"/>
  <c r="D90" i="3"/>
  <c r="F75" i="3"/>
  <c r="V75" i="3"/>
  <c r="D57" i="3"/>
  <c r="T57" i="3"/>
  <c r="V120" i="3"/>
  <c r="F120" i="3"/>
  <c r="B78" i="3"/>
  <c r="S78" i="3"/>
  <c r="W81" i="3"/>
  <c r="H81" i="3"/>
  <c r="F83" i="3"/>
  <c r="V83" i="3"/>
  <c r="H92" i="3"/>
  <c r="W92" i="3"/>
  <c r="F102" i="3"/>
  <c r="V102" i="3"/>
  <c r="AC104" i="3"/>
  <c r="P104" i="3"/>
  <c r="V101" i="3"/>
  <c r="F101" i="3"/>
  <c r="V92" i="3"/>
  <c r="F92" i="3"/>
  <c r="W102" i="3"/>
  <c r="H102" i="3"/>
  <c r="B104" i="3"/>
  <c r="S104" i="3"/>
  <c r="T101" i="3"/>
  <c r="D101" i="3"/>
  <c r="AC100" i="3"/>
  <c r="P100" i="3"/>
  <c r="P93" i="3"/>
  <c r="AC93" i="3"/>
  <c r="P75" i="3"/>
  <c r="AC75" i="3"/>
  <c r="AA59" i="2"/>
  <c r="AF59" i="2" s="1"/>
  <c r="Z59" i="3"/>
  <c r="L59" i="3"/>
  <c r="H69" i="3"/>
  <c r="W69" i="3"/>
  <c r="B69" i="3"/>
  <c r="S69" i="3"/>
  <c r="T66" i="3"/>
  <c r="D66" i="3"/>
  <c r="V60" i="3"/>
  <c r="F60" i="3"/>
  <c r="W64" i="3"/>
  <c r="H64" i="3"/>
  <c r="B74" i="3"/>
  <c r="S74" i="3"/>
  <c r="W82" i="3"/>
  <c r="H82" i="3"/>
  <c r="F80" i="3"/>
  <c r="V80" i="3"/>
  <c r="D105" i="3"/>
  <c r="T105" i="3"/>
  <c r="N105" i="3"/>
  <c r="AB105" i="3"/>
  <c r="D89" i="3"/>
  <c r="T89" i="3"/>
  <c r="H75" i="3"/>
  <c r="W75" i="3"/>
  <c r="S85" i="3"/>
  <c r="B85" i="3"/>
  <c r="N86" i="3"/>
  <c r="AB86" i="3"/>
  <c r="B89" i="3"/>
  <c r="S89" i="3"/>
  <c r="S94" i="3"/>
  <c r="B94" i="3"/>
  <c r="D103" i="3"/>
  <c r="T103" i="3"/>
  <c r="S63" i="3"/>
  <c r="B63" i="3"/>
  <c r="V63" i="3"/>
  <c r="F63" i="3"/>
  <c r="V59" i="3"/>
  <c r="F59" i="3"/>
  <c r="F86" i="3"/>
  <c r="V86" i="3"/>
  <c r="T99" i="3"/>
  <c r="D99" i="3"/>
  <c r="H62" i="3"/>
  <c r="W62" i="3"/>
  <c r="F84" i="3"/>
  <c r="V84" i="3"/>
  <c r="H59" i="3"/>
  <c r="W59" i="3"/>
  <c r="N76" i="3"/>
  <c r="AB76" i="3"/>
  <c r="H67" i="3"/>
  <c r="W67" i="3"/>
  <c r="P96" i="3"/>
  <c r="AC96" i="3"/>
  <c r="F64" i="3"/>
  <c r="V64" i="3"/>
  <c r="D61" i="3"/>
  <c r="T61" i="3"/>
  <c r="D72" i="3"/>
  <c r="T72" i="3"/>
  <c r="S70" i="3"/>
  <c r="B70" i="3"/>
  <c r="B61" i="3"/>
  <c r="S61" i="3"/>
  <c r="H80" i="3"/>
  <c r="W80" i="3"/>
  <c r="H99" i="3"/>
  <c r="W99" i="3"/>
  <c r="B96" i="3"/>
  <c r="S96" i="3"/>
  <c r="B60" i="3"/>
  <c r="S60" i="3"/>
  <c r="W87" i="3"/>
  <c r="H87" i="3"/>
  <c r="B105" i="3"/>
  <c r="S105" i="3"/>
  <c r="H96" i="3"/>
  <c r="W96" i="3"/>
  <c r="W65" i="3"/>
  <c r="H65" i="3"/>
  <c r="W70" i="3"/>
  <c r="H70" i="3"/>
  <c r="P59" i="3"/>
  <c r="AC59" i="3"/>
  <c r="B76" i="3"/>
  <c r="S76" i="3"/>
  <c r="W58" i="3"/>
  <c r="H58" i="3"/>
  <c r="V66" i="3"/>
  <c r="F66" i="3"/>
  <c r="AC82" i="3"/>
  <c r="P82" i="3"/>
  <c r="F65" i="3"/>
  <c r="V65" i="3"/>
  <c r="AA86" i="2"/>
  <c r="AF86" i="2" s="1"/>
  <c r="L86" i="3"/>
  <c r="Z86" i="3"/>
  <c r="S80" i="3"/>
  <c r="B80" i="3"/>
  <c r="S99" i="3"/>
  <c r="B99" i="3"/>
  <c r="V87" i="3"/>
  <c r="F87" i="3"/>
  <c r="AC105" i="3"/>
  <c r="P105" i="3"/>
  <c r="T84" i="3"/>
  <c r="D84" i="3"/>
  <c r="AA72" i="2"/>
  <c r="AF72" i="2" s="1"/>
  <c r="L72" i="3"/>
  <c r="Z72" i="3"/>
  <c r="Y105" i="3"/>
  <c r="J105" i="3"/>
  <c r="D88" i="3"/>
  <c r="T88" i="3"/>
  <c r="W79" i="3"/>
  <c r="H79" i="3"/>
  <c r="H93" i="3"/>
  <c r="W93" i="3"/>
  <c r="B90" i="3"/>
  <c r="S90" i="3"/>
  <c r="D94" i="3"/>
  <c r="T94" i="3"/>
  <c r="S57" i="3"/>
  <c r="B57" i="3"/>
  <c r="F81" i="3"/>
  <c r="V81" i="3"/>
  <c r="T83" i="3"/>
  <c r="D83" i="3"/>
  <c r="F98" i="3"/>
  <c r="V98" i="3"/>
  <c r="V85" i="3"/>
  <c r="F85" i="3"/>
  <c r="Y64" i="3"/>
  <c r="J64" i="3"/>
  <c r="AA66" i="2"/>
  <c r="AF66" i="2" s="1"/>
  <c r="Z66" i="3"/>
  <c r="L66" i="3"/>
  <c r="Y86" i="3"/>
  <c r="J86" i="3"/>
  <c r="V79" i="3"/>
  <c r="F79" i="3"/>
  <c r="P77" i="3"/>
  <c r="AC77" i="3"/>
  <c r="V95" i="3"/>
  <c r="F95" i="3"/>
  <c r="H91" i="3"/>
  <c r="W91" i="3"/>
  <c r="V78" i="3"/>
  <c r="F78" i="3"/>
  <c r="F82" i="3"/>
  <c r="V82" i="3"/>
  <c r="D92" i="3"/>
  <c r="T92" i="3"/>
  <c r="S97" i="3"/>
  <c r="B97" i="3"/>
  <c r="W103" i="3"/>
  <c r="H103" i="3"/>
  <c r="D104" i="3"/>
  <c r="T104" i="3"/>
  <c r="V71" i="3"/>
  <c r="F71" i="3"/>
  <c r="B92" i="3"/>
  <c r="S92" i="3"/>
  <c r="S103" i="3"/>
  <c r="B103" i="3"/>
  <c r="V104" i="3"/>
  <c r="F104" i="3"/>
  <c r="S73" i="3"/>
  <c r="B73" i="3"/>
  <c r="P88" i="3"/>
  <c r="AC88" i="3"/>
  <c r="AA89" i="2"/>
  <c r="AF89" i="2" s="1"/>
  <c r="Z89" i="3"/>
  <c r="L89" i="3"/>
  <c r="AA95" i="2"/>
  <c r="AF95" i="2" s="1"/>
  <c r="L95" i="3"/>
  <c r="Z95" i="3"/>
  <c r="AA97" i="2"/>
  <c r="AF97" i="2" s="1"/>
  <c r="Z97" i="3"/>
  <c r="L97" i="3"/>
  <c r="AA57" i="2"/>
  <c r="AF57" i="2" s="1"/>
  <c r="AA82" i="2"/>
  <c r="AF82" i="2" s="1"/>
  <c r="N83" i="3" l="1"/>
  <c r="AB83" i="3"/>
  <c r="AC120" i="3"/>
  <c r="P120" i="3"/>
  <c r="AB62" i="3"/>
  <c r="N62" i="3"/>
  <c r="N65" i="3"/>
  <c r="AB65" i="3"/>
  <c r="Y78" i="3"/>
  <c r="J78" i="3"/>
  <c r="N57" i="3"/>
  <c r="AB57" i="3"/>
  <c r="N72" i="3"/>
  <c r="AB72" i="3"/>
  <c r="AC65" i="3"/>
  <c r="P65" i="3"/>
  <c r="D121" i="3"/>
  <c r="T121" i="3"/>
  <c r="Y103" i="3"/>
  <c r="J103" i="3"/>
  <c r="AB120" i="3"/>
  <c r="N120" i="3"/>
  <c r="P83" i="3"/>
  <c r="AC83" i="3"/>
  <c r="P67" i="3"/>
  <c r="AC67" i="3"/>
  <c r="P62" i="3"/>
  <c r="AC62" i="3"/>
  <c r="N92" i="3"/>
  <c r="AB92" i="3"/>
  <c r="P102" i="3"/>
  <c r="AC102" i="3"/>
  <c r="AB68" i="3"/>
  <c r="N68" i="3"/>
  <c r="AC71" i="3"/>
  <c r="P71" i="3"/>
  <c r="Y73" i="3"/>
  <c r="J73" i="3"/>
  <c r="J101" i="3"/>
  <c r="Y101" i="3"/>
  <c r="Y102" i="3"/>
  <c r="J102" i="3"/>
  <c r="Y97" i="3"/>
  <c r="J97" i="3"/>
  <c r="Y82" i="3"/>
  <c r="J82" i="3"/>
  <c r="Y75" i="3"/>
  <c r="J75" i="3"/>
  <c r="AA90" i="2"/>
  <c r="AF90" i="2" s="1"/>
  <c r="Z90" i="3"/>
  <c r="L90" i="3"/>
  <c r="Y100" i="3"/>
  <c r="J100" i="3"/>
  <c r="J85" i="3"/>
  <c r="Y85" i="3"/>
  <c r="AA78" i="2"/>
  <c r="AF78" i="2" s="1"/>
  <c r="L78" i="3"/>
  <c r="Z78" i="3"/>
  <c r="Y91" i="3"/>
  <c r="J91" i="3"/>
  <c r="AC73" i="3"/>
  <c r="P73" i="3"/>
  <c r="AA68" i="2"/>
  <c r="AF68" i="2" s="1"/>
  <c r="Z68" i="3"/>
  <c r="L68" i="3"/>
  <c r="Y80" i="3"/>
  <c r="J80" i="3"/>
  <c r="Y58" i="3"/>
  <c r="J58" i="3"/>
  <c r="J96" i="3"/>
  <c r="Y96" i="3"/>
  <c r="Y60" i="3"/>
  <c r="J60" i="3"/>
  <c r="AA80" i="2"/>
  <c r="AF80" i="2" s="1"/>
  <c r="L80" i="3"/>
  <c r="Z80" i="3"/>
  <c r="Y66" i="3"/>
  <c r="J66" i="3"/>
  <c r="J104" i="3"/>
  <c r="Y104" i="3"/>
  <c r="J77" i="3"/>
  <c r="Y77" i="3"/>
  <c r="AA101" i="2"/>
  <c r="AF101" i="2" s="1"/>
  <c r="L101" i="3"/>
  <c r="Z101" i="3"/>
  <c r="Y94" i="3"/>
  <c r="J94" i="3"/>
  <c r="Y79" i="3"/>
  <c r="J79" i="3"/>
  <c r="AA91" i="2"/>
  <c r="AF91" i="2" s="1"/>
  <c r="Z91" i="3"/>
  <c r="L91" i="3"/>
  <c r="Y81" i="3"/>
  <c r="J81" i="3"/>
  <c r="AA94" i="2"/>
  <c r="AF94" i="2" s="1"/>
  <c r="L94" i="3"/>
  <c r="Z94" i="3"/>
  <c r="Y67" i="3"/>
  <c r="J67" i="3"/>
  <c r="AA84" i="2"/>
  <c r="AF84" i="2" s="1"/>
  <c r="Z84" i="3"/>
  <c r="L84" i="3"/>
  <c r="J74" i="3"/>
  <c r="Y74" i="3"/>
  <c r="AA64" i="2"/>
  <c r="AF64" i="2" s="1"/>
  <c r="L64" i="3"/>
  <c r="Z64" i="3"/>
  <c r="AA99" i="2"/>
  <c r="AF99" i="2" s="1"/>
  <c r="Z99" i="3"/>
  <c r="L99" i="3"/>
  <c r="J99" i="3"/>
  <c r="Y99" i="3"/>
  <c r="J69" i="3"/>
  <c r="Y69" i="3"/>
  <c r="J63" i="3"/>
  <c r="Y63" i="3"/>
  <c r="W121" i="3"/>
  <c r="H121" i="3"/>
  <c r="AC103" i="3"/>
  <c r="P103" i="3"/>
  <c r="AB93" i="3"/>
  <c r="N93" i="3"/>
  <c r="J90" i="3"/>
  <c r="Y90" i="3"/>
  <c r="AC63" i="3"/>
  <c r="P63" i="3"/>
  <c r="AC76" i="3"/>
  <c r="P76" i="3"/>
  <c r="N89" i="3"/>
  <c r="AB89" i="3"/>
  <c r="AC58" i="3"/>
  <c r="P58" i="3"/>
  <c r="AB101" i="3"/>
  <c r="N101" i="3"/>
  <c r="N97" i="3"/>
  <c r="AB97" i="3"/>
  <c r="N75" i="3"/>
  <c r="AB75" i="3"/>
  <c r="N100" i="3"/>
  <c r="AB100" i="3"/>
  <c r="P78" i="3"/>
  <c r="AC78" i="3"/>
  <c r="AA73" i="2"/>
  <c r="AF73" i="2" s="1"/>
  <c r="Z73" i="3"/>
  <c r="L73" i="3"/>
  <c r="AB80" i="3"/>
  <c r="N80" i="3"/>
  <c r="N60" i="3"/>
  <c r="AB60" i="3"/>
  <c r="N66" i="3"/>
  <c r="AB66" i="3"/>
  <c r="AB77" i="3"/>
  <c r="N77" i="3"/>
  <c r="AB94" i="3"/>
  <c r="N94" i="3"/>
  <c r="N81" i="3"/>
  <c r="AB81" i="3"/>
  <c r="N67" i="3"/>
  <c r="AB67" i="3"/>
  <c r="P64" i="3"/>
  <c r="AC64" i="3"/>
  <c r="N99" i="3"/>
  <c r="AB99" i="3"/>
  <c r="AB63" i="3"/>
  <c r="N63" i="3"/>
  <c r="AB71" i="3"/>
  <c r="N71" i="3"/>
  <c r="AB95" i="3"/>
  <c r="N95" i="3"/>
  <c r="Y88" i="3"/>
  <c r="J88" i="3"/>
  <c r="AB87" i="3"/>
  <c r="N87" i="3"/>
  <c r="N59" i="3"/>
  <c r="AB59" i="3"/>
  <c r="AC98" i="3"/>
  <c r="P98" i="3"/>
  <c r="N98" i="3"/>
  <c r="AB98" i="3"/>
  <c r="AA79" i="2"/>
  <c r="AF79" i="2" s="1"/>
  <c r="L79" i="3"/>
  <c r="Z79" i="3"/>
  <c r="P69" i="3"/>
  <c r="AC69" i="3"/>
  <c r="AB61" i="3"/>
  <c r="N61" i="3"/>
  <c r="N73" i="3"/>
  <c r="AB73" i="3"/>
  <c r="N102" i="3"/>
  <c r="AB102" i="3"/>
  <c r="N82" i="3"/>
  <c r="AB82" i="3"/>
  <c r="AC90" i="3"/>
  <c r="P90" i="3"/>
  <c r="AB85" i="3"/>
  <c r="N85" i="3"/>
  <c r="N91" i="3"/>
  <c r="AB91" i="3"/>
  <c r="AC68" i="3"/>
  <c r="P68" i="3"/>
  <c r="AB58" i="3"/>
  <c r="N58" i="3"/>
  <c r="AB96" i="3"/>
  <c r="N96" i="3"/>
  <c r="P80" i="3"/>
  <c r="AC80" i="3"/>
  <c r="AB104" i="3"/>
  <c r="N104" i="3"/>
  <c r="P101" i="3"/>
  <c r="AC101" i="3"/>
  <c r="AB79" i="3"/>
  <c r="N79" i="3"/>
  <c r="P91" i="3"/>
  <c r="AC91" i="3"/>
  <c r="P94" i="3"/>
  <c r="AC94" i="3"/>
  <c r="AC84" i="3"/>
  <c r="P84" i="3"/>
  <c r="AB74" i="3"/>
  <c r="N74" i="3"/>
  <c r="P99" i="3"/>
  <c r="AC99" i="3"/>
  <c r="AB69" i="3"/>
  <c r="N69" i="3"/>
  <c r="AB103" i="3"/>
  <c r="N103" i="3"/>
  <c r="J71" i="3"/>
  <c r="Y71" i="3"/>
  <c r="AA103" i="2"/>
  <c r="AF103" i="2" s="1"/>
  <c r="L103" i="3"/>
  <c r="Z103" i="3"/>
  <c r="Y83" i="3"/>
  <c r="J83" i="3"/>
  <c r="J120" i="3"/>
  <c r="Y120" i="3"/>
  <c r="J95" i="3"/>
  <c r="Y95" i="3"/>
  <c r="J93" i="3"/>
  <c r="Y93" i="3"/>
  <c r="N88" i="3"/>
  <c r="AB88" i="3"/>
  <c r="AA83" i="2"/>
  <c r="AF83" i="2" s="1"/>
  <c r="Z83" i="3"/>
  <c r="L83" i="3"/>
  <c r="AA120" i="2"/>
  <c r="AF120" i="2" s="1"/>
  <c r="L120" i="3"/>
  <c r="Z120" i="3"/>
  <c r="AB90" i="3"/>
  <c r="N90" i="3"/>
  <c r="AA67" i="2"/>
  <c r="AF67" i="2" s="1"/>
  <c r="Z67" i="3"/>
  <c r="L67" i="3"/>
  <c r="Y87" i="3"/>
  <c r="J87" i="3"/>
  <c r="AA63" i="2"/>
  <c r="AF63" i="2" s="1"/>
  <c r="L63" i="3"/>
  <c r="Z63" i="3"/>
  <c r="Y62" i="3"/>
  <c r="J62" i="3"/>
  <c r="AA62" i="2"/>
  <c r="AF62" i="2" s="1"/>
  <c r="L62" i="3"/>
  <c r="Z62" i="3"/>
  <c r="Y59" i="3"/>
  <c r="J59" i="3"/>
  <c r="Y65" i="3"/>
  <c r="J65" i="3"/>
  <c r="AA76" i="2"/>
  <c r="AF76" i="2" s="1"/>
  <c r="Z76" i="3"/>
  <c r="L76" i="3"/>
  <c r="Y92" i="3"/>
  <c r="J92" i="3"/>
  <c r="AA98" i="2"/>
  <c r="AF98" i="2" s="1"/>
  <c r="Z98" i="3"/>
  <c r="L98" i="3"/>
  <c r="AB78" i="3"/>
  <c r="N78" i="3"/>
  <c r="Y89" i="3"/>
  <c r="J89" i="3"/>
  <c r="AA102" i="2"/>
  <c r="AF102" i="2" s="1"/>
  <c r="L102" i="3"/>
  <c r="Z102" i="3"/>
  <c r="J98" i="3"/>
  <c r="Y98" i="3"/>
  <c r="Y57" i="3"/>
  <c r="J57" i="3"/>
  <c r="AC79" i="3"/>
  <c r="P79" i="3"/>
  <c r="Y68" i="3"/>
  <c r="J68" i="3"/>
  <c r="AA58" i="2"/>
  <c r="AF58" i="2" s="1"/>
  <c r="Z58" i="3"/>
  <c r="L58" i="3"/>
  <c r="AA69" i="2"/>
  <c r="AF69" i="2" s="1"/>
  <c r="L69" i="3"/>
  <c r="Z69" i="3"/>
  <c r="Y72" i="3"/>
  <c r="J72" i="3"/>
  <c r="AA71" i="2"/>
  <c r="AF71" i="2" s="1"/>
  <c r="L71" i="3"/>
  <c r="Z71" i="3"/>
  <c r="J61" i="3"/>
  <c r="Y61" i="3"/>
  <c r="AA65" i="2"/>
  <c r="AF65" i="2" s="1"/>
  <c r="Z65" i="3"/>
  <c r="L65" i="3"/>
  <c r="AJ122" i="1"/>
  <c r="AJ123" i="1" l="1"/>
  <c r="T122" i="3"/>
  <c r="D122" i="3"/>
  <c r="AA121" i="2"/>
  <c r="AF121" i="2" s="1"/>
  <c r="Z121" i="3"/>
  <c r="L121" i="3"/>
  <c r="H122" i="3"/>
  <c r="W122" i="3"/>
  <c r="AC121" i="3"/>
  <c r="P121" i="3"/>
  <c r="T123" i="3" l="1"/>
  <c r="D123" i="3"/>
  <c r="AA122" i="2"/>
  <c r="AF122" i="2" s="1"/>
  <c r="Z122" i="3"/>
  <c r="L122" i="3"/>
  <c r="H123" i="3"/>
  <c r="W123" i="3"/>
  <c r="P122" i="3"/>
  <c r="AC122" i="3"/>
  <c r="AJ124" i="1"/>
  <c r="W124" i="3" l="1"/>
  <c r="H124" i="3"/>
  <c r="AA123" i="2"/>
  <c r="AF123" i="2" s="1"/>
  <c r="Z123" i="3"/>
  <c r="L123" i="3"/>
  <c r="D124" i="3"/>
  <c r="T124" i="3"/>
  <c r="P123" i="3"/>
  <c r="AC123" i="3"/>
  <c r="AJ125" i="1"/>
  <c r="H125" i="3" l="1"/>
  <c r="W125" i="3"/>
  <c r="AA124" i="2"/>
  <c r="AF124" i="2" s="1"/>
  <c r="Z124" i="3"/>
  <c r="L124" i="3"/>
  <c r="AJ126" i="1"/>
  <c r="P124" i="3"/>
  <c r="AC124" i="3"/>
  <c r="T125" i="3"/>
  <c r="D125" i="3"/>
  <c r="W126" i="3" l="1"/>
  <c r="H126" i="3"/>
  <c r="AA125" i="2"/>
  <c r="AF125" i="2" s="1"/>
  <c r="Z125" i="3"/>
  <c r="L125" i="3"/>
  <c r="P125" i="3"/>
  <c r="AC125" i="3"/>
  <c r="D126" i="3"/>
  <c r="T126" i="3"/>
  <c r="AJ127" i="1"/>
  <c r="AJ128" i="1" l="1"/>
  <c r="AC126" i="3"/>
  <c r="P126" i="3"/>
  <c r="W127" i="3"/>
  <c r="H127" i="3"/>
  <c r="D127" i="3"/>
  <c r="T127" i="3"/>
  <c r="AA126" i="2"/>
  <c r="AF126" i="2" s="1"/>
  <c r="L126" i="3"/>
  <c r="Z126" i="3"/>
  <c r="AC127" i="3" l="1"/>
  <c r="P127" i="3"/>
  <c r="T128" i="3"/>
  <c r="D128" i="3"/>
  <c r="W128" i="3"/>
  <c r="H128" i="3"/>
  <c r="AJ129" i="1"/>
  <c r="AA127" i="2"/>
  <c r="AF127" i="2" s="1"/>
  <c r="L127" i="3"/>
  <c r="Z127" i="3"/>
  <c r="AJ130" i="1" l="1"/>
  <c r="W129" i="3"/>
  <c r="H129" i="3"/>
  <c r="AA128" i="2"/>
  <c r="AF128" i="2" s="1"/>
  <c r="Z128" i="3"/>
  <c r="L128" i="3"/>
  <c r="AC128" i="3"/>
  <c r="P128" i="3"/>
  <c r="D129" i="3"/>
  <c r="T129" i="3"/>
  <c r="AA129" i="2" l="1"/>
  <c r="AF129" i="2" s="1"/>
  <c r="Z129" i="3"/>
  <c r="L129" i="3"/>
  <c r="D130" i="3"/>
  <c r="T130" i="3"/>
  <c r="W130" i="3"/>
  <c r="H130" i="3"/>
  <c r="AC129" i="3"/>
  <c r="P129" i="3"/>
  <c r="AA130" i="2" l="1"/>
  <c r="AF130" i="2" s="1"/>
  <c r="Z130" i="3"/>
  <c r="L130" i="3"/>
  <c r="P130" i="3"/>
  <c r="AC130" i="3"/>
</calcChain>
</file>

<file path=xl/sharedStrings.xml><?xml version="1.0" encoding="utf-8"?>
<sst xmlns="http://schemas.openxmlformats.org/spreadsheetml/2006/main" count="156" uniqueCount="28">
  <si>
    <t>Imports</t>
  </si>
  <si>
    <t>Exports</t>
  </si>
  <si>
    <t>Constant prices, current borders</t>
  </si>
  <si>
    <t>Current prices, current borders</t>
  </si>
  <si>
    <t>Current prices, 1913 borders</t>
  </si>
  <si>
    <t>Constant prices, 1913 borders</t>
  </si>
  <si>
    <t>Number countries</t>
  </si>
  <si>
    <t>1913 borders</t>
  </si>
  <si>
    <t>import</t>
  </si>
  <si>
    <t>export</t>
  </si>
  <si>
    <t>current borders</t>
  </si>
  <si>
    <t>Constant prices</t>
  </si>
  <si>
    <t>Current prices</t>
  </si>
  <si>
    <t>Australia</t>
  </si>
  <si>
    <t>French Polinesia</t>
  </si>
  <si>
    <t>Hawai</t>
  </si>
  <si>
    <t>New Zeland</t>
  </si>
  <si>
    <t>Dutch new Guinea</t>
  </si>
  <si>
    <t>US settlement Oceania</t>
  </si>
  <si>
    <t>British settlement Oceania</t>
  </si>
  <si>
    <t>German colonies Oceania</t>
  </si>
  <si>
    <t>Differenza current-1913 borders</t>
  </si>
  <si>
    <t>Number</t>
  </si>
  <si>
    <t>Millons $</t>
  </si>
  <si>
    <t>Millons 1913$</t>
  </si>
  <si>
    <t>Millon US $</t>
  </si>
  <si>
    <t>Millons US $1913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</si>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</sst>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-* #,##0.00_-;\-* #,##0.00_-;_-* &quot;-&quot;??_-;_-@_-"/>
    <numFmt numFmtId="165" formatCode="0.0"/>
    <numFmt numFmtId="166" formatCode="0.000"/>
    <numFmt numFmtId="167" formatCode="0.0000"/>
    <numFmt numFmtId="168" formatCode="0.00000"/>
  </numFmts>
  <fonts count="9" x14ac:knownFonts="1"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sz val="14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FFCC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5" fillId="2" borderId="0" applyNumberFormat="0" applyBorder="0" applyAlignment="0" applyProtection="0"/>
    <xf numFmtId="0" fontId="6" fillId="3" borderId="1" applyNumberFormat="0" applyAlignment="0" applyProtection="0"/>
    <xf numFmtId="0" fontId="4" fillId="4" borderId="2" applyNumberFormat="0" applyFont="0" applyAlignment="0" applyProtection="0"/>
    <xf numFmtId="0" fontId="7" fillId="5" borderId="0" applyNumberFormat="0" applyBorder="0" applyAlignment="0" applyProtection="0"/>
  </cellStyleXfs>
  <cellXfs count="27">
    <xf numFmtId="0" fontId="0" fillId="0" borderId="0" xfId="0"/>
    <xf numFmtId="0" fontId="0" fillId="0" borderId="0" xfId="0" applyFont="1"/>
    <xf numFmtId="165" fontId="0" fillId="0" borderId="0" xfId="0" applyNumberFormat="1"/>
    <xf numFmtId="1" fontId="0" fillId="0" borderId="0" xfId="0" applyNumberFormat="1"/>
    <xf numFmtId="166" fontId="0" fillId="0" borderId="0" xfId="0" applyNumberFormat="1"/>
    <xf numFmtId="167" fontId="0" fillId="0" borderId="0" xfId="0" applyNumberFormat="1"/>
    <xf numFmtId="2" fontId="0" fillId="0" borderId="0" xfId="0" applyNumberFormat="1"/>
    <xf numFmtId="0" fontId="0" fillId="0" borderId="0" xfId="0" applyFill="1"/>
    <xf numFmtId="2" fontId="0" fillId="0" borderId="0" xfId="0" applyNumberFormat="1" applyFill="1"/>
    <xf numFmtId="168" fontId="0" fillId="0" borderId="0" xfId="0" applyNumberFormat="1"/>
    <xf numFmtId="166" fontId="0" fillId="0" borderId="0" xfId="0" applyNumberFormat="1" applyFill="1"/>
    <xf numFmtId="0" fontId="1" fillId="0" borderId="0" xfId="2" applyFont="1"/>
    <xf numFmtId="0" fontId="3" fillId="0" borderId="0" xfId="2" applyFont="1" applyFill="1"/>
    <xf numFmtId="0" fontId="0" fillId="4" borderId="2" xfId="5" applyFont="1"/>
    <xf numFmtId="0" fontId="1" fillId="4" borderId="2" xfId="5" applyFont="1"/>
    <xf numFmtId="0" fontId="3" fillId="4" borderId="2" xfId="5" applyFont="1"/>
    <xf numFmtId="0" fontId="6" fillId="3" borderId="1" xfId="4"/>
    <xf numFmtId="0" fontId="5" fillId="2" borderId="0" xfId="3"/>
    <xf numFmtId="0" fontId="7" fillId="5" borderId="0" xfId="6"/>
    <xf numFmtId="0" fontId="0" fillId="4" borderId="2" xfId="5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8" fillId="3" borderId="3" xfId="4" applyFont="1" applyBorder="1" applyAlignment="1">
      <alignment horizontal="center"/>
    </xf>
    <xf numFmtId="0" fontId="8" fillId="3" borderId="4" xfId="4" applyFont="1" applyBorder="1" applyAlignment="1">
      <alignment horizontal="center"/>
    </xf>
    <xf numFmtId="0" fontId="8" fillId="3" borderId="5" xfId="4" applyFont="1" applyBorder="1" applyAlignment="1">
      <alignment horizontal="center"/>
    </xf>
    <xf numFmtId="0" fontId="5" fillId="2" borderId="0" xfId="3" applyAlignment="1">
      <alignment horizontal="center"/>
    </xf>
  </cellXfs>
  <cellStyles count="7">
    <cellStyle name="Buena" xfId="3" builtinId="26"/>
    <cellStyle name="Entrada" xfId="4" builtinId="20"/>
    <cellStyle name="Excel Built-in Normal" xfId="2"/>
    <cellStyle name="Migliaia 2" xfId="1"/>
    <cellStyle name="Neutral" xfId="6" builtinId="28"/>
    <cellStyle name="Normal" xfId="0" builtinId="0"/>
    <cellStyle name="Notas" xfId="5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145"/>
  <sheetViews>
    <sheetView workbookViewId="0">
      <pane xSplit="1" ySplit="6" topLeftCell="B25" activePane="bottomRight" state="frozen"/>
      <selection pane="topRight" activeCell="B1" sqref="B1"/>
      <selection pane="bottomLeft" activeCell="A7" sqref="A7"/>
      <selection pane="bottomRight" activeCell="O29" sqref="O29"/>
    </sheetView>
  </sheetViews>
  <sheetFormatPr baseColWidth="10" defaultColWidth="9.109375" defaultRowHeight="13.2" x14ac:dyDescent="0.25"/>
  <cols>
    <col min="2" max="2" width="10.5546875" bestFit="1" customWidth="1"/>
    <col min="3" max="4" width="10.5546875" customWidth="1"/>
    <col min="8" max="8" width="9.5546875" bestFit="1" customWidth="1"/>
    <col min="9" max="9" width="9.5546875" customWidth="1"/>
    <col min="12" max="12" width="10.5546875" bestFit="1" customWidth="1"/>
    <col min="13" max="14" width="10.5546875" customWidth="1"/>
    <col min="18" max="18" width="11.5546875" bestFit="1" customWidth="1"/>
    <col min="19" max="19" width="11.5546875" customWidth="1"/>
  </cols>
  <sheetData>
    <row r="2" spans="1:39" ht="14.4" x14ac:dyDescent="0.3">
      <c r="A2" s="1"/>
      <c r="B2" s="16" t="s">
        <v>0</v>
      </c>
      <c r="L2" s="16" t="s">
        <v>1</v>
      </c>
    </row>
    <row r="3" spans="1:39" ht="14.4" x14ac:dyDescent="0.3">
      <c r="B3" s="13" t="s">
        <v>13</v>
      </c>
      <c r="C3" s="14" t="s">
        <v>19</v>
      </c>
      <c r="D3" s="13" t="s">
        <v>17</v>
      </c>
      <c r="E3" s="13" t="s">
        <v>14</v>
      </c>
      <c r="F3" s="15" t="s">
        <v>20</v>
      </c>
      <c r="G3" s="13" t="s">
        <v>15</v>
      </c>
      <c r="H3" s="13" t="s">
        <v>16</v>
      </c>
      <c r="I3" s="13" t="s">
        <v>18</v>
      </c>
      <c r="K3" s="1"/>
      <c r="L3" s="13" t="s">
        <v>13</v>
      </c>
      <c r="M3" s="14" t="s">
        <v>19</v>
      </c>
      <c r="N3" s="13" t="s">
        <v>17</v>
      </c>
      <c r="O3" s="13" t="s">
        <v>14</v>
      </c>
      <c r="P3" s="15" t="s">
        <v>20</v>
      </c>
      <c r="Q3" s="13" t="s">
        <v>15</v>
      </c>
      <c r="R3" s="13" t="s">
        <v>16</v>
      </c>
      <c r="S3" s="13" t="s">
        <v>18</v>
      </c>
      <c r="V3" s="13" t="s">
        <v>13</v>
      </c>
      <c r="W3" s="14" t="s">
        <v>19</v>
      </c>
      <c r="X3" s="13" t="s">
        <v>17</v>
      </c>
      <c r="Y3" s="13" t="s">
        <v>14</v>
      </c>
      <c r="Z3" s="15" t="s">
        <v>20</v>
      </c>
      <c r="AA3" s="13" t="s">
        <v>15</v>
      </c>
      <c r="AB3" s="13" t="s">
        <v>16</v>
      </c>
      <c r="AC3" s="13" t="s">
        <v>18</v>
      </c>
      <c r="AF3" s="13" t="s">
        <v>13</v>
      </c>
      <c r="AG3" s="14" t="s">
        <v>19</v>
      </c>
      <c r="AH3" s="13" t="s">
        <v>17</v>
      </c>
      <c r="AI3" s="13" t="s">
        <v>14</v>
      </c>
      <c r="AJ3" s="15" t="s">
        <v>20</v>
      </c>
      <c r="AK3" s="13" t="s">
        <v>15</v>
      </c>
      <c r="AL3" s="13" t="s">
        <v>16</v>
      </c>
      <c r="AM3" s="13" t="s">
        <v>18</v>
      </c>
    </row>
    <row r="4" spans="1:39" ht="14.4" x14ac:dyDescent="0.3">
      <c r="B4" s="17" t="s">
        <v>23</v>
      </c>
      <c r="L4" s="17" t="s">
        <v>23</v>
      </c>
      <c r="V4" t="s">
        <v>13</v>
      </c>
      <c r="W4" t="s">
        <v>14</v>
      </c>
      <c r="X4" t="s">
        <v>15</v>
      </c>
      <c r="Y4" t="s">
        <v>16</v>
      </c>
      <c r="AA4" t="s">
        <v>13</v>
      </c>
      <c r="AB4" t="s">
        <v>14</v>
      </c>
      <c r="AC4" t="s">
        <v>15</v>
      </c>
      <c r="AD4" t="s">
        <v>16</v>
      </c>
      <c r="AF4" t="s">
        <v>13</v>
      </c>
      <c r="AG4" t="s">
        <v>14</v>
      </c>
      <c r="AH4" t="s">
        <v>15</v>
      </c>
      <c r="AI4" t="s">
        <v>16</v>
      </c>
    </row>
    <row r="7" spans="1:39" x14ac:dyDescent="0.25">
      <c r="A7">
        <v>1800</v>
      </c>
      <c r="AA7" t="str">
        <f t="shared" ref="AA7:AA32" si="0">+IF(B7&gt;0,1," ")</f>
        <v xml:space="preserve"> </v>
      </c>
      <c r="AF7" s="2"/>
    </row>
    <row r="8" spans="1:39" x14ac:dyDescent="0.25">
      <c r="A8">
        <v>1801</v>
      </c>
      <c r="AA8" t="str">
        <f t="shared" si="0"/>
        <v xml:space="preserve"> </v>
      </c>
      <c r="AF8" s="2"/>
    </row>
    <row r="9" spans="1:39" x14ac:dyDescent="0.25">
      <c r="A9">
        <v>1802</v>
      </c>
      <c r="AA9" t="str">
        <f t="shared" si="0"/>
        <v xml:space="preserve"> </v>
      </c>
      <c r="AF9" s="2"/>
    </row>
    <row r="10" spans="1:39" x14ac:dyDescent="0.25">
      <c r="A10">
        <v>1803</v>
      </c>
      <c r="AA10" t="str">
        <f t="shared" si="0"/>
        <v xml:space="preserve"> </v>
      </c>
      <c r="AF10" s="2"/>
    </row>
    <row r="11" spans="1:39" x14ac:dyDescent="0.25">
      <c r="A11">
        <v>1804</v>
      </c>
      <c r="AA11" t="str">
        <f t="shared" si="0"/>
        <v xml:space="preserve"> </v>
      </c>
      <c r="AF11" s="2"/>
    </row>
    <row r="12" spans="1:39" x14ac:dyDescent="0.25">
      <c r="A12">
        <v>1805</v>
      </c>
      <c r="AA12" t="str">
        <f t="shared" si="0"/>
        <v xml:space="preserve"> </v>
      </c>
      <c r="AF12" s="2"/>
    </row>
    <row r="13" spans="1:39" x14ac:dyDescent="0.25">
      <c r="A13">
        <v>1806</v>
      </c>
      <c r="AA13" t="str">
        <f t="shared" si="0"/>
        <v xml:space="preserve"> </v>
      </c>
      <c r="AF13" s="2"/>
    </row>
    <row r="14" spans="1:39" x14ac:dyDescent="0.25">
      <c r="A14">
        <v>1807</v>
      </c>
      <c r="AA14" t="str">
        <f t="shared" si="0"/>
        <v xml:space="preserve"> </v>
      </c>
      <c r="AF14" s="2"/>
    </row>
    <row r="15" spans="1:39" x14ac:dyDescent="0.25">
      <c r="A15">
        <v>1808</v>
      </c>
      <c r="AA15" t="str">
        <f t="shared" si="0"/>
        <v xml:space="preserve"> </v>
      </c>
      <c r="AF15" s="2"/>
    </row>
    <row r="16" spans="1:39" x14ac:dyDescent="0.25">
      <c r="A16">
        <v>1809</v>
      </c>
      <c r="AA16" t="str">
        <f t="shared" si="0"/>
        <v xml:space="preserve"> </v>
      </c>
      <c r="AF16" s="2"/>
    </row>
    <row r="17" spans="1:32" x14ac:dyDescent="0.25">
      <c r="A17">
        <v>1810</v>
      </c>
      <c r="AA17" t="str">
        <f t="shared" si="0"/>
        <v xml:space="preserve"> </v>
      </c>
      <c r="AF17" s="2"/>
    </row>
    <row r="18" spans="1:32" x14ac:dyDescent="0.25">
      <c r="A18">
        <v>1811</v>
      </c>
      <c r="AA18" t="str">
        <f t="shared" si="0"/>
        <v xml:space="preserve"> </v>
      </c>
      <c r="AF18" s="2"/>
    </row>
    <row r="19" spans="1:32" x14ac:dyDescent="0.25">
      <c r="A19">
        <v>1812</v>
      </c>
      <c r="AA19" t="str">
        <f t="shared" si="0"/>
        <v xml:space="preserve"> </v>
      </c>
      <c r="AF19" s="2"/>
    </row>
    <row r="20" spans="1:32" x14ac:dyDescent="0.25">
      <c r="A20">
        <v>1813</v>
      </c>
      <c r="AA20" t="str">
        <f t="shared" si="0"/>
        <v xml:space="preserve"> </v>
      </c>
      <c r="AF20" s="2"/>
    </row>
    <row r="21" spans="1:32" x14ac:dyDescent="0.25">
      <c r="A21">
        <v>1814</v>
      </c>
      <c r="AA21" t="str">
        <f t="shared" si="0"/>
        <v xml:space="preserve"> </v>
      </c>
      <c r="AF21" s="2"/>
    </row>
    <row r="22" spans="1:32" x14ac:dyDescent="0.25">
      <c r="A22">
        <v>1815</v>
      </c>
      <c r="AA22" t="str">
        <f t="shared" si="0"/>
        <v xml:space="preserve"> </v>
      </c>
      <c r="AF22" s="2"/>
    </row>
    <row r="23" spans="1:32" x14ac:dyDescent="0.25">
      <c r="A23">
        <v>1816</v>
      </c>
      <c r="AA23" t="str">
        <f t="shared" si="0"/>
        <v xml:space="preserve"> </v>
      </c>
      <c r="AF23" s="2"/>
    </row>
    <row r="24" spans="1:32" x14ac:dyDescent="0.25">
      <c r="A24">
        <v>1817</v>
      </c>
      <c r="AA24" t="str">
        <f t="shared" si="0"/>
        <v xml:space="preserve"> </v>
      </c>
      <c r="AF24" s="2"/>
    </row>
    <row r="25" spans="1:32" x14ac:dyDescent="0.25">
      <c r="A25">
        <v>1818</v>
      </c>
      <c r="V25" s="2" t="str">
        <f t="shared" ref="V25:V32" si="1">+IF(B25&gt;0,1," ")</f>
        <v xml:space="preserve"> </v>
      </c>
      <c r="AA25" t="str">
        <f t="shared" si="0"/>
        <v xml:space="preserve"> </v>
      </c>
      <c r="AF25" s="2"/>
    </row>
    <row r="26" spans="1:32" x14ac:dyDescent="0.25">
      <c r="A26">
        <v>1819</v>
      </c>
      <c r="V26" s="2" t="str">
        <f t="shared" si="1"/>
        <v xml:space="preserve"> </v>
      </c>
      <c r="AA26" t="str">
        <f t="shared" si="0"/>
        <v xml:space="preserve"> </v>
      </c>
      <c r="AF26" s="2"/>
    </row>
    <row r="27" spans="1:32" x14ac:dyDescent="0.25">
      <c r="A27">
        <v>1820</v>
      </c>
      <c r="V27" s="2" t="str">
        <f t="shared" si="1"/>
        <v xml:space="preserve"> </v>
      </c>
      <c r="AA27" t="str">
        <f t="shared" si="0"/>
        <v xml:space="preserve"> </v>
      </c>
      <c r="AF27" s="2"/>
    </row>
    <row r="28" spans="1:32" x14ac:dyDescent="0.25">
      <c r="A28">
        <v>1821</v>
      </c>
      <c r="V28" s="2" t="str">
        <f t="shared" si="1"/>
        <v xml:space="preserve"> </v>
      </c>
      <c r="AA28" t="str">
        <f t="shared" si="0"/>
        <v xml:space="preserve"> </v>
      </c>
      <c r="AF28" s="2"/>
    </row>
    <row r="29" spans="1:32" x14ac:dyDescent="0.25">
      <c r="A29">
        <v>1822</v>
      </c>
      <c r="V29" s="2" t="str">
        <f t="shared" si="1"/>
        <v xml:space="preserve"> </v>
      </c>
      <c r="AA29" t="str">
        <f t="shared" si="0"/>
        <v xml:space="preserve"> </v>
      </c>
      <c r="AF29" s="2"/>
    </row>
    <row r="30" spans="1:32" x14ac:dyDescent="0.25">
      <c r="A30">
        <v>1823</v>
      </c>
      <c r="V30" s="2" t="str">
        <f t="shared" si="1"/>
        <v xml:space="preserve"> </v>
      </c>
      <c r="AA30" t="str">
        <f t="shared" si="0"/>
        <v xml:space="preserve"> </v>
      </c>
      <c r="AF30" s="2"/>
    </row>
    <row r="31" spans="1:32" x14ac:dyDescent="0.25">
      <c r="A31">
        <v>1824</v>
      </c>
      <c r="V31" s="2" t="str">
        <f t="shared" si="1"/>
        <v xml:space="preserve"> </v>
      </c>
      <c r="AA31" t="str">
        <f t="shared" si="0"/>
        <v xml:space="preserve"> </v>
      </c>
      <c r="AF31" s="2"/>
    </row>
    <row r="32" spans="1:32" x14ac:dyDescent="0.25">
      <c r="A32">
        <v>1825</v>
      </c>
      <c r="R32" s="4"/>
      <c r="V32" s="2" t="str">
        <f t="shared" si="1"/>
        <v xml:space="preserve"> </v>
      </c>
      <c r="AA32" t="str">
        <f t="shared" si="0"/>
        <v xml:space="preserve"> </v>
      </c>
      <c r="AF32" s="2"/>
    </row>
    <row r="33" spans="1:40" x14ac:dyDescent="0.25">
      <c r="A33">
        <v>1826</v>
      </c>
      <c r="B33" s="6">
        <v>1.9286400000000004</v>
      </c>
      <c r="C33" s="6"/>
      <c r="D33" s="6"/>
      <c r="E33" s="6"/>
      <c r="F33" s="6"/>
      <c r="G33" s="6"/>
      <c r="H33" s="6"/>
      <c r="I33" s="6"/>
      <c r="J33" s="6"/>
      <c r="K33" s="6"/>
      <c r="L33" s="6">
        <v>0.48216000000000009</v>
      </c>
      <c r="M33" s="6"/>
      <c r="N33" s="6"/>
      <c r="O33" s="6"/>
      <c r="P33" s="6"/>
      <c r="Q33" s="4">
        <v>3.7920667089508038E-2</v>
      </c>
      <c r="R33" s="4">
        <v>4.5873319869735299E-3</v>
      </c>
      <c r="V33" s="2">
        <f t="shared" ref="V33:V37" si="2">+IF(B33&gt;0,1," ")</f>
        <v>1</v>
      </c>
      <c r="W33" s="2" t="str">
        <f t="shared" ref="W33:W96" si="3">+IF(C33&gt;0,1," ")</f>
        <v xml:space="preserve"> </v>
      </c>
      <c r="X33" s="2" t="str">
        <f t="shared" ref="X33:X96" si="4">+IF(D33&gt;0,1," ")</f>
        <v xml:space="preserve"> </v>
      </c>
      <c r="Y33" s="2" t="str">
        <f t="shared" ref="Y33:Y96" si="5">+IF(E33&gt;0,1," ")</f>
        <v xml:space="preserve"> </v>
      </c>
      <c r="Z33" s="2" t="str">
        <f t="shared" ref="Z33:Z96" si="6">+IF(F33&gt;0,1," ")</f>
        <v xml:space="preserve"> </v>
      </c>
      <c r="AA33" s="2" t="str">
        <f t="shared" ref="AA33:AA96" si="7">+IF(G33&gt;0,1," ")</f>
        <v xml:space="preserve"> </v>
      </c>
      <c r="AB33" s="2" t="str">
        <f t="shared" ref="AB33:AB96" si="8">+IF(H33&gt;0,1," ")</f>
        <v xml:space="preserve"> </v>
      </c>
      <c r="AC33" s="2" t="str">
        <f t="shared" ref="AC33:AC96" si="9">+IF(I33&gt;0,1," ")</f>
        <v xml:space="preserve"> </v>
      </c>
      <c r="AD33" s="2" t="str">
        <f t="shared" ref="AD33:AD96" si="10">+IF(J33&gt;0,1," ")</f>
        <v xml:space="preserve"> </v>
      </c>
      <c r="AF33" s="2">
        <f t="shared" ref="AF33:AF96" si="11">+IF(L33&gt;0,1," ")</f>
        <v>1</v>
      </c>
      <c r="AG33" s="2" t="str">
        <f t="shared" ref="AG33:AG96" si="12">+IF(M33&gt;0,1," ")</f>
        <v xml:space="preserve"> </v>
      </c>
      <c r="AH33" s="2" t="str">
        <f t="shared" ref="AH33:AH96" si="13">+IF(N33&gt;0,1," ")</f>
        <v xml:space="preserve"> </v>
      </c>
      <c r="AI33" s="2" t="str">
        <f t="shared" ref="AI33:AI96" si="14">+IF(O33&gt;0,1," ")</f>
        <v xml:space="preserve"> </v>
      </c>
      <c r="AJ33" s="2" t="str">
        <f t="shared" ref="AJ33:AJ96" si="15">+IF(P33&gt;0,1," ")</f>
        <v xml:space="preserve"> </v>
      </c>
      <c r="AK33" s="2">
        <f t="shared" ref="AK33:AK96" si="16">+IF(Q33&gt;0,1," ")</f>
        <v>1</v>
      </c>
      <c r="AL33" s="2">
        <f t="shared" ref="AL33:AL96" si="17">+IF(R33&gt;0,1," ")</f>
        <v>1</v>
      </c>
      <c r="AM33" s="2" t="str">
        <f t="shared" ref="AM33:AM96" si="18">+IF(S33&gt;0,1," ")</f>
        <v xml:space="preserve"> </v>
      </c>
      <c r="AN33" s="2" t="str">
        <f t="shared" ref="AN33:AN96" si="19">+IF(T33&gt;0,1," ")</f>
        <v xml:space="preserve"> </v>
      </c>
    </row>
    <row r="34" spans="1:40" x14ac:dyDescent="0.25">
      <c r="A34">
        <v>1827</v>
      </c>
      <c r="B34" s="6">
        <v>2.4003999999999999</v>
      </c>
      <c r="C34" s="6"/>
      <c r="D34" s="6"/>
      <c r="E34" s="6"/>
      <c r="F34" s="6"/>
      <c r="G34" s="6"/>
      <c r="H34" s="6"/>
      <c r="I34" s="6"/>
      <c r="J34" s="6"/>
      <c r="K34" s="6"/>
      <c r="L34" s="6">
        <v>0.48008000000000001</v>
      </c>
      <c r="M34" s="6"/>
      <c r="N34" s="6"/>
      <c r="O34" s="6"/>
      <c r="P34" s="6"/>
      <c r="Q34" s="4">
        <v>3.9953852573486402E-2</v>
      </c>
      <c r="R34" s="4">
        <v>4.8484174897738116E-3</v>
      </c>
      <c r="V34" s="2">
        <f t="shared" si="2"/>
        <v>1</v>
      </c>
      <c r="W34" s="2" t="str">
        <f t="shared" si="3"/>
        <v xml:space="preserve"> </v>
      </c>
      <c r="X34" s="2" t="str">
        <f t="shared" si="4"/>
        <v xml:space="preserve"> </v>
      </c>
      <c r="Y34" s="2" t="str">
        <f t="shared" si="5"/>
        <v xml:space="preserve"> </v>
      </c>
      <c r="Z34" s="2" t="str">
        <f t="shared" si="6"/>
        <v xml:space="preserve"> </v>
      </c>
      <c r="AA34" s="2" t="str">
        <f t="shared" si="7"/>
        <v xml:space="preserve"> </v>
      </c>
      <c r="AB34" s="2" t="str">
        <f t="shared" si="8"/>
        <v xml:space="preserve"> </v>
      </c>
      <c r="AC34" s="2" t="str">
        <f t="shared" si="9"/>
        <v xml:space="preserve"> </v>
      </c>
      <c r="AD34" s="2" t="str">
        <f t="shared" si="10"/>
        <v xml:space="preserve"> </v>
      </c>
      <c r="AF34" s="2">
        <f t="shared" si="11"/>
        <v>1</v>
      </c>
      <c r="AG34" s="2" t="str">
        <f t="shared" si="12"/>
        <v xml:space="preserve"> </v>
      </c>
      <c r="AH34" s="2" t="str">
        <f t="shared" si="13"/>
        <v xml:space="preserve"> </v>
      </c>
      <c r="AI34" s="2" t="str">
        <f t="shared" si="14"/>
        <v xml:space="preserve"> </v>
      </c>
      <c r="AJ34" s="2" t="str">
        <f t="shared" si="15"/>
        <v xml:space="preserve"> </v>
      </c>
      <c r="AK34" s="2">
        <f t="shared" si="16"/>
        <v>1</v>
      </c>
      <c r="AL34" s="2">
        <f t="shared" si="17"/>
        <v>1</v>
      </c>
      <c r="AM34" s="2" t="str">
        <f t="shared" si="18"/>
        <v xml:space="preserve"> </v>
      </c>
      <c r="AN34" s="2" t="str">
        <f t="shared" si="19"/>
        <v xml:space="preserve"> </v>
      </c>
    </row>
    <row r="35" spans="1:40" x14ac:dyDescent="0.25">
      <c r="A35">
        <v>1828</v>
      </c>
      <c r="B35" s="6">
        <v>3.4584899999999994</v>
      </c>
      <c r="C35" s="6"/>
      <c r="D35" s="6"/>
      <c r="E35" s="6"/>
      <c r="F35" s="6"/>
      <c r="G35" s="6"/>
      <c r="H35" s="6"/>
      <c r="I35" s="6"/>
      <c r="J35" s="6"/>
      <c r="K35" s="6"/>
      <c r="L35" s="6">
        <v>0.49407000000000001</v>
      </c>
      <c r="M35" s="6"/>
      <c r="N35" s="6"/>
      <c r="O35" s="6"/>
      <c r="P35" s="6"/>
      <c r="Q35" s="4">
        <v>3.8177176007666187E-2</v>
      </c>
      <c r="R35" s="4">
        <v>4.6258712585674462E-3</v>
      </c>
      <c r="V35" s="2">
        <f t="shared" si="2"/>
        <v>1</v>
      </c>
      <c r="W35" s="2" t="str">
        <f t="shared" si="3"/>
        <v xml:space="preserve"> </v>
      </c>
      <c r="X35" s="2" t="str">
        <f t="shared" si="4"/>
        <v xml:space="preserve"> </v>
      </c>
      <c r="Y35" s="2" t="str">
        <f t="shared" si="5"/>
        <v xml:space="preserve"> </v>
      </c>
      <c r="Z35" s="2" t="str">
        <f t="shared" si="6"/>
        <v xml:space="preserve"> </v>
      </c>
      <c r="AA35" s="2" t="str">
        <f t="shared" si="7"/>
        <v xml:space="preserve"> </v>
      </c>
      <c r="AB35" s="2" t="str">
        <f t="shared" si="8"/>
        <v xml:space="preserve"> </v>
      </c>
      <c r="AC35" s="2" t="str">
        <f t="shared" si="9"/>
        <v xml:space="preserve"> </v>
      </c>
      <c r="AD35" s="2" t="str">
        <f t="shared" si="10"/>
        <v xml:space="preserve"> </v>
      </c>
      <c r="AF35" s="2">
        <f t="shared" si="11"/>
        <v>1</v>
      </c>
      <c r="AG35" s="2" t="str">
        <f t="shared" si="12"/>
        <v xml:space="preserve"> </v>
      </c>
      <c r="AH35" s="2" t="str">
        <f t="shared" si="13"/>
        <v xml:space="preserve"> </v>
      </c>
      <c r="AI35" s="2" t="str">
        <f t="shared" si="14"/>
        <v xml:space="preserve"> </v>
      </c>
      <c r="AJ35" s="2" t="str">
        <f t="shared" si="15"/>
        <v xml:space="preserve"> </v>
      </c>
      <c r="AK35" s="2">
        <f t="shared" si="16"/>
        <v>1</v>
      </c>
      <c r="AL35" s="2">
        <f t="shared" si="17"/>
        <v>1</v>
      </c>
      <c r="AM35" s="2" t="str">
        <f t="shared" si="18"/>
        <v xml:space="preserve"> </v>
      </c>
      <c r="AN35" s="2" t="str">
        <f t="shared" si="19"/>
        <v xml:space="preserve"> </v>
      </c>
    </row>
    <row r="36" spans="1:40" x14ac:dyDescent="0.25">
      <c r="A36">
        <v>1829</v>
      </c>
      <c r="B36" s="6">
        <v>3.9486400000000001</v>
      </c>
      <c r="C36" s="6"/>
      <c r="D36" s="6"/>
      <c r="E36" s="6"/>
      <c r="F36" s="6"/>
      <c r="G36" s="6"/>
      <c r="H36" s="6"/>
      <c r="I36" s="6"/>
      <c r="J36" s="6"/>
      <c r="K36" s="6"/>
      <c r="L36" s="6">
        <v>0.98716000000000004</v>
      </c>
      <c r="M36" s="6"/>
      <c r="N36" s="6"/>
      <c r="O36" s="6"/>
      <c r="P36" s="6"/>
      <c r="Q36" s="4">
        <v>7.6275325743053776E-2</v>
      </c>
      <c r="R36" s="4">
        <v>9.1176479305976731E-3</v>
      </c>
      <c r="V36" s="2">
        <f t="shared" si="2"/>
        <v>1</v>
      </c>
      <c r="W36" s="2" t="str">
        <f t="shared" si="3"/>
        <v xml:space="preserve"> </v>
      </c>
      <c r="X36" s="2" t="str">
        <f t="shared" si="4"/>
        <v xml:space="preserve"> </v>
      </c>
      <c r="Y36" s="2" t="str">
        <f t="shared" si="5"/>
        <v xml:space="preserve"> </v>
      </c>
      <c r="Z36" s="2" t="str">
        <f t="shared" si="6"/>
        <v xml:space="preserve"> </v>
      </c>
      <c r="AA36" s="2" t="str">
        <f t="shared" si="7"/>
        <v xml:space="preserve"> </v>
      </c>
      <c r="AB36" s="2" t="str">
        <f t="shared" si="8"/>
        <v xml:space="preserve"> </v>
      </c>
      <c r="AC36" s="2" t="str">
        <f t="shared" si="9"/>
        <v xml:space="preserve"> </v>
      </c>
      <c r="AD36" s="2" t="str">
        <f t="shared" si="10"/>
        <v xml:space="preserve"> </v>
      </c>
      <c r="AF36" s="2">
        <f t="shared" si="11"/>
        <v>1</v>
      </c>
      <c r="AG36" s="2" t="str">
        <f t="shared" si="12"/>
        <v xml:space="preserve"> </v>
      </c>
      <c r="AH36" s="2" t="str">
        <f t="shared" si="13"/>
        <v xml:space="preserve"> </v>
      </c>
      <c r="AI36" s="2" t="str">
        <f t="shared" si="14"/>
        <v xml:space="preserve"> </v>
      </c>
      <c r="AJ36" s="2" t="str">
        <f t="shared" si="15"/>
        <v xml:space="preserve"> </v>
      </c>
      <c r="AK36" s="2">
        <f t="shared" si="16"/>
        <v>1</v>
      </c>
      <c r="AL36" s="2">
        <f t="shared" si="17"/>
        <v>1</v>
      </c>
      <c r="AM36" s="2" t="str">
        <f t="shared" si="18"/>
        <v xml:space="preserve"> </v>
      </c>
      <c r="AN36" s="2" t="str">
        <f t="shared" si="19"/>
        <v xml:space="preserve"> </v>
      </c>
    </row>
    <row r="37" spans="1:40" x14ac:dyDescent="0.25">
      <c r="A37">
        <v>1830</v>
      </c>
      <c r="B37" s="6">
        <v>3.3605599999999995</v>
      </c>
      <c r="C37" s="6"/>
      <c r="D37" s="6"/>
      <c r="E37" s="6"/>
      <c r="F37" s="6"/>
      <c r="G37" s="6"/>
      <c r="H37" s="6"/>
      <c r="I37" s="6"/>
      <c r="J37" s="6"/>
      <c r="K37" s="6"/>
      <c r="L37" s="6">
        <v>0.96016000000000001</v>
      </c>
      <c r="M37" s="6"/>
      <c r="N37" s="6"/>
      <c r="O37" s="6"/>
      <c r="P37" s="6"/>
      <c r="Q37" s="4">
        <v>7.6230843261359857E-2</v>
      </c>
      <c r="R37" s="4">
        <v>8.9241616061950801E-3</v>
      </c>
      <c r="S37" s="4"/>
      <c r="V37" s="2">
        <f t="shared" si="2"/>
        <v>1</v>
      </c>
      <c r="W37" s="2" t="str">
        <f t="shared" si="3"/>
        <v xml:space="preserve"> </v>
      </c>
      <c r="X37" s="2" t="str">
        <f t="shared" si="4"/>
        <v xml:space="preserve"> </v>
      </c>
      <c r="Y37" s="2" t="str">
        <f t="shared" si="5"/>
        <v xml:space="preserve"> </v>
      </c>
      <c r="Z37" s="2" t="str">
        <f t="shared" si="6"/>
        <v xml:space="preserve"> </v>
      </c>
      <c r="AA37" s="2" t="str">
        <f t="shared" si="7"/>
        <v xml:space="preserve"> </v>
      </c>
      <c r="AB37" s="2" t="str">
        <f t="shared" si="8"/>
        <v xml:space="preserve"> </v>
      </c>
      <c r="AC37" s="2" t="str">
        <f t="shared" si="9"/>
        <v xml:space="preserve"> </v>
      </c>
      <c r="AD37" s="2" t="str">
        <f t="shared" si="10"/>
        <v xml:space="preserve"> </v>
      </c>
      <c r="AF37" s="2">
        <f t="shared" si="11"/>
        <v>1</v>
      </c>
      <c r="AG37" s="2" t="str">
        <f t="shared" si="12"/>
        <v xml:space="preserve"> </v>
      </c>
      <c r="AH37" s="2" t="str">
        <f t="shared" si="13"/>
        <v xml:space="preserve"> </v>
      </c>
      <c r="AI37" s="2" t="str">
        <f t="shared" si="14"/>
        <v xml:space="preserve"> </v>
      </c>
      <c r="AJ37" s="2" t="str">
        <f t="shared" si="15"/>
        <v xml:space="preserve"> </v>
      </c>
      <c r="AK37" s="2">
        <f t="shared" si="16"/>
        <v>1</v>
      </c>
      <c r="AL37" s="2">
        <f t="shared" si="17"/>
        <v>1</v>
      </c>
      <c r="AM37" s="2" t="str">
        <f t="shared" si="18"/>
        <v xml:space="preserve"> </v>
      </c>
      <c r="AN37" s="2" t="str">
        <f t="shared" si="19"/>
        <v xml:space="preserve"> </v>
      </c>
    </row>
    <row r="38" spans="1:40" x14ac:dyDescent="0.25">
      <c r="A38">
        <v>1831</v>
      </c>
      <c r="B38" s="6">
        <v>3.9603999999999999</v>
      </c>
      <c r="C38" s="6"/>
      <c r="D38" s="6"/>
      <c r="E38" s="6"/>
      <c r="F38" s="6"/>
      <c r="G38" s="6"/>
      <c r="H38" s="6"/>
      <c r="I38" s="6"/>
      <c r="J38" s="6"/>
      <c r="K38" s="6"/>
      <c r="L38" s="6">
        <v>1.9802</v>
      </c>
      <c r="M38" s="6"/>
      <c r="N38" s="6"/>
      <c r="O38" s="6"/>
      <c r="P38" s="6"/>
      <c r="Q38" s="6">
        <v>0.15872831034054022</v>
      </c>
      <c r="R38" s="6">
        <v>1.8966333868694864E-2</v>
      </c>
      <c r="S38" s="4"/>
      <c r="V38" s="2">
        <f t="shared" ref="V38:V53" si="20">+IF(B38&gt;0,1," ")</f>
        <v>1</v>
      </c>
      <c r="W38" s="2" t="str">
        <f t="shared" si="3"/>
        <v xml:space="preserve"> </v>
      </c>
      <c r="X38" s="2" t="str">
        <f t="shared" si="4"/>
        <v xml:space="preserve"> </v>
      </c>
      <c r="Y38" s="2" t="str">
        <f t="shared" si="5"/>
        <v xml:space="preserve"> </v>
      </c>
      <c r="Z38" s="2" t="str">
        <f t="shared" si="6"/>
        <v xml:space="preserve"> </v>
      </c>
      <c r="AA38" s="2" t="str">
        <f t="shared" si="7"/>
        <v xml:space="preserve"> </v>
      </c>
      <c r="AB38" s="2" t="str">
        <f t="shared" si="8"/>
        <v xml:space="preserve"> </v>
      </c>
      <c r="AC38" s="2" t="str">
        <f t="shared" si="9"/>
        <v xml:space="preserve"> </v>
      </c>
      <c r="AD38" s="2" t="str">
        <f t="shared" si="10"/>
        <v xml:space="preserve"> </v>
      </c>
      <c r="AF38" s="2">
        <f t="shared" si="11"/>
        <v>1</v>
      </c>
      <c r="AG38" s="2" t="str">
        <f t="shared" si="12"/>
        <v xml:space="preserve"> </v>
      </c>
      <c r="AH38" s="2" t="str">
        <f t="shared" si="13"/>
        <v xml:space="preserve"> </v>
      </c>
      <c r="AI38" s="2" t="str">
        <f t="shared" si="14"/>
        <v xml:space="preserve"> </v>
      </c>
      <c r="AJ38" s="2" t="str">
        <f t="shared" si="15"/>
        <v xml:space="preserve"> </v>
      </c>
      <c r="AK38" s="2">
        <f t="shared" si="16"/>
        <v>1</v>
      </c>
      <c r="AL38" s="2">
        <f t="shared" si="17"/>
        <v>1</v>
      </c>
      <c r="AM38" s="2" t="str">
        <f t="shared" si="18"/>
        <v xml:space="preserve"> </v>
      </c>
      <c r="AN38" s="2" t="str">
        <f t="shared" si="19"/>
        <v xml:space="preserve"> </v>
      </c>
    </row>
    <row r="39" spans="1:40" x14ac:dyDescent="0.25">
      <c r="A39">
        <v>1832</v>
      </c>
      <c r="B39" s="6">
        <v>4.9020000000000001</v>
      </c>
      <c r="C39" s="6"/>
      <c r="D39" s="6"/>
      <c r="E39" s="6"/>
      <c r="F39" s="6"/>
      <c r="G39" s="6"/>
      <c r="H39" s="6"/>
      <c r="I39" s="6"/>
      <c r="J39" s="6"/>
      <c r="K39" s="6"/>
      <c r="L39" s="6">
        <v>2.4510000000000001</v>
      </c>
      <c r="M39" s="6"/>
      <c r="N39" s="6"/>
      <c r="O39" s="6"/>
      <c r="P39" s="6"/>
      <c r="Q39" s="6">
        <v>0.23472163343165092</v>
      </c>
      <c r="R39" s="6">
        <v>2.8032872506653803E-2</v>
      </c>
      <c r="S39" s="4"/>
      <c r="V39" s="2">
        <f t="shared" si="20"/>
        <v>1</v>
      </c>
      <c r="W39" s="2" t="str">
        <f t="shared" si="3"/>
        <v xml:space="preserve"> </v>
      </c>
      <c r="X39" s="2" t="str">
        <f t="shared" si="4"/>
        <v xml:space="preserve"> </v>
      </c>
      <c r="Y39" s="2" t="str">
        <f t="shared" si="5"/>
        <v xml:space="preserve"> </v>
      </c>
      <c r="Z39" s="2" t="str">
        <f t="shared" si="6"/>
        <v xml:space="preserve"> </v>
      </c>
      <c r="AA39" s="2" t="str">
        <f t="shared" si="7"/>
        <v xml:space="preserve"> </v>
      </c>
      <c r="AB39" s="2" t="str">
        <f t="shared" si="8"/>
        <v xml:space="preserve"> </v>
      </c>
      <c r="AC39" s="2" t="str">
        <f t="shared" si="9"/>
        <v xml:space="preserve"> </v>
      </c>
      <c r="AD39" s="2" t="str">
        <f t="shared" si="10"/>
        <v xml:space="preserve"> </v>
      </c>
      <c r="AF39" s="2">
        <f t="shared" si="11"/>
        <v>1</v>
      </c>
      <c r="AG39" s="2" t="str">
        <f t="shared" si="12"/>
        <v xml:space="preserve"> </v>
      </c>
      <c r="AH39" s="2" t="str">
        <f t="shared" si="13"/>
        <v xml:space="preserve"> </v>
      </c>
      <c r="AI39" s="2" t="str">
        <f t="shared" si="14"/>
        <v xml:space="preserve"> </v>
      </c>
      <c r="AJ39" s="2" t="str">
        <f t="shared" si="15"/>
        <v xml:space="preserve"> </v>
      </c>
      <c r="AK39" s="2">
        <f t="shared" si="16"/>
        <v>1</v>
      </c>
      <c r="AL39" s="2">
        <f t="shared" si="17"/>
        <v>1</v>
      </c>
      <c r="AM39" s="2" t="str">
        <f t="shared" si="18"/>
        <v xml:space="preserve"> </v>
      </c>
      <c r="AN39" s="2" t="str">
        <f t="shared" si="19"/>
        <v xml:space="preserve"> </v>
      </c>
    </row>
    <row r="40" spans="1:40" x14ac:dyDescent="0.25">
      <c r="A40">
        <v>1833</v>
      </c>
      <c r="B40" s="6">
        <v>4.7506000000000004</v>
      </c>
      <c r="C40" s="6"/>
      <c r="D40" s="6"/>
      <c r="E40" s="6"/>
      <c r="F40" s="6"/>
      <c r="G40" s="6"/>
      <c r="H40" s="6"/>
      <c r="I40" s="6"/>
      <c r="J40" s="6"/>
      <c r="K40" s="6"/>
      <c r="L40" s="6">
        <v>2.3753000000000002</v>
      </c>
      <c r="M40" s="6"/>
      <c r="N40" s="6"/>
      <c r="O40" s="6"/>
      <c r="P40" s="6"/>
      <c r="Q40" s="6">
        <v>0.23618056867700735</v>
      </c>
      <c r="R40" s="6">
        <v>2.7797742564666977E-2</v>
      </c>
      <c r="S40" s="4"/>
      <c r="V40" s="2">
        <f t="shared" si="20"/>
        <v>1</v>
      </c>
      <c r="W40" s="2" t="str">
        <f t="shared" si="3"/>
        <v xml:space="preserve"> </v>
      </c>
      <c r="X40" s="2" t="str">
        <f t="shared" si="4"/>
        <v xml:space="preserve"> </v>
      </c>
      <c r="Y40" s="2" t="str">
        <f t="shared" si="5"/>
        <v xml:space="preserve"> </v>
      </c>
      <c r="Z40" s="2" t="str">
        <f t="shared" si="6"/>
        <v xml:space="preserve"> </v>
      </c>
      <c r="AA40" s="2" t="str">
        <f t="shared" si="7"/>
        <v xml:space="preserve"> </v>
      </c>
      <c r="AB40" s="2" t="str">
        <f t="shared" si="8"/>
        <v xml:space="preserve"> </v>
      </c>
      <c r="AC40" s="2" t="str">
        <f t="shared" si="9"/>
        <v xml:space="preserve"> </v>
      </c>
      <c r="AD40" s="2" t="str">
        <f t="shared" si="10"/>
        <v xml:space="preserve"> </v>
      </c>
      <c r="AF40" s="2">
        <f t="shared" si="11"/>
        <v>1</v>
      </c>
      <c r="AG40" s="2" t="str">
        <f t="shared" si="12"/>
        <v xml:space="preserve"> </v>
      </c>
      <c r="AH40" s="2" t="str">
        <f t="shared" si="13"/>
        <v xml:space="preserve"> </v>
      </c>
      <c r="AI40" s="2" t="str">
        <f t="shared" si="14"/>
        <v xml:space="preserve"> </v>
      </c>
      <c r="AJ40" s="2" t="str">
        <f t="shared" si="15"/>
        <v xml:space="preserve"> </v>
      </c>
      <c r="AK40" s="2">
        <f t="shared" si="16"/>
        <v>1</v>
      </c>
      <c r="AL40" s="2">
        <f t="shared" si="17"/>
        <v>1</v>
      </c>
      <c r="AM40" s="2" t="str">
        <f t="shared" si="18"/>
        <v xml:space="preserve"> </v>
      </c>
      <c r="AN40" s="2" t="str">
        <f t="shared" si="19"/>
        <v xml:space="preserve"> </v>
      </c>
    </row>
    <row r="41" spans="1:40" x14ac:dyDescent="0.25">
      <c r="A41">
        <v>1834</v>
      </c>
      <c r="B41" s="6">
        <v>6.6985799999999998</v>
      </c>
      <c r="C41" s="6"/>
      <c r="D41" s="6"/>
      <c r="E41" s="6"/>
      <c r="F41" s="6"/>
      <c r="G41" s="6"/>
      <c r="H41" s="6"/>
      <c r="I41" s="6"/>
      <c r="J41" s="6"/>
      <c r="K41" s="6"/>
      <c r="L41" s="6">
        <v>3.8277600000000001</v>
      </c>
      <c r="M41" s="6"/>
      <c r="N41" s="6"/>
      <c r="O41" s="6"/>
      <c r="P41" s="6"/>
      <c r="Q41" s="6">
        <v>0.34399999999999997</v>
      </c>
      <c r="R41" s="6">
        <v>3.9227597174909479E-2</v>
      </c>
      <c r="S41" s="4"/>
      <c r="V41" s="2">
        <f t="shared" si="20"/>
        <v>1</v>
      </c>
      <c r="W41" s="2" t="str">
        <f t="shared" si="3"/>
        <v xml:space="preserve"> </v>
      </c>
      <c r="X41" s="2" t="str">
        <f t="shared" si="4"/>
        <v xml:space="preserve"> </v>
      </c>
      <c r="Y41" s="2" t="str">
        <f t="shared" si="5"/>
        <v xml:space="preserve"> </v>
      </c>
      <c r="Z41" s="2" t="str">
        <f t="shared" si="6"/>
        <v xml:space="preserve"> </v>
      </c>
      <c r="AA41" s="2" t="str">
        <f t="shared" si="7"/>
        <v xml:space="preserve"> </v>
      </c>
      <c r="AB41" s="2" t="str">
        <f t="shared" si="8"/>
        <v xml:space="preserve"> </v>
      </c>
      <c r="AC41" s="2" t="str">
        <f t="shared" si="9"/>
        <v xml:space="preserve"> </v>
      </c>
      <c r="AD41" s="2" t="str">
        <f t="shared" si="10"/>
        <v xml:space="preserve"> </v>
      </c>
      <c r="AF41" s="2">
        <f t="shared" si="11"/>
        <v>1</v>
      </c>
      <c r="AG41" s="2" t="str">
        <f t="shared" si="12"/>
        <v xml:space="preserve"> </v>
      </c>
      <c r="AH41" s="2" t="str">
        <f t="shared" si="13"/>
        <v xml:space="preserve"> </v>
      </c>
      <c r="AI41" s="2" t="str">
        <f t="shared" si="14"/>
        <v xml:space="preserve"> </v>
      </c>
      <c r="AJ41" s="2" t="str">
        <f t="shared" si="15"/>
        <v xml:space="preserve"> </v>
      </c>
      <c r="AK41" s="2">
        <f t="shared" si="16"/>
        <v>1</v>
      </c>
      <c r="AL41" s="2">
        <f t="shared" si="17"/>
        <v>1</v>
      </c>
      <c r="AM41" s="2" t="str">
        <f t="shared" si="18"/>
        <v xml:space="preserve"> </v>
      </c>
      <c r="AN41" s="2" t="str">
        <f t="shared" si="19"/>
        <v xml:space="preserve"> </v>
      </c>
    </row>
    <row r="42" spans="1:40" x14ac:dyDescent="0.25">
      <c r="A42">
        <v>1835</v>
      </c>
      <c r="B42" s="6">
        <v>8.0443200000000008</v>
      </c>
      <c r="C42" s="6"/>
      <c r="D42" s="6"/>
      <c r="E42" s="6"/>
      <c r="F42" s="6"/>
      <c r="G42" s="6"/>
      <c r="H42" s="6"/>
      <c r="I42" s="6"/>
      <c r="J42" s="6"/>
      <c r="K42" s="6"/>
      <c r="L42" s="6">
        <v>4.5249300000000003</v>
      </c>
      <c r="M42" s="6"/>
      <c r="N42" s="6"/>
      <c r="O42" s="6"/>
      <c r="P42" s="6"/>
      <c r="Q42" s="6">
        <v>0.34399999999999997</v>
      </c>
      <c r="R42" s="6">
        <v>4.6782675210782498E-2</v>
      </c>
      <c r="S42" s="4"/>
      <c r="V42" s="2">
        <f t="shared" si="20"/>
        <v>1</v>
      </c>
      <c r="W42" s="2" t="str">
        <f t="shared" si="3"/>
        <v xml:space="preserve"> </v>
      </c>
      <c r="X42" s="2" t="str">
        <f t="shared" si="4"/>
        <v xml:space="preserve"> </v>
      </c>
      <c r="Y42" s="2" t="str">
        <f t="shared" si="5"/>
        <v xml:space="preserve"> </v>
      </c>
      <c r="Z42" s="2" t="str">
        <f t="shared" si="6"/>
        <v xml:space="preserve"> </v>
      </c>
      <c r="AA42" s="2" t="str">
        <f t="shared" si="7"/>
        <v xml:space="preserve"> </v>
      </c>
      <c r="AB42" s="2" t="str">
        <f t="shared" si="8"/>
        <v xml:space="preserve"> </v>
      </c>
      <c r="AC42" s="2" t="str">
        <f t="shared" si="9"/>
        <v xml:space="preserve"> </v>
      </c>
      <c r="AD42" s="2" t="str">
        <f t="shared" si="10"/>
        <v xml:space="preserve"> </v>
      </c>
      <c r="AF42" s="2">
        <f t="shared" si="11"/>
        <v>1</v>
      </c>
      <c r="AG42" s="2" t="str">
        <f t="shared" si="12"/>
        <v xml:space="preserve"> </v>
      </c>
      <c r="AH42" s="2" t="str">
        <f t="shared" si="13"/>
        <v xml:space="preserve"> </v>
      </c>
      <c r="AI42" s="2" t="str">
        <f t="shared" si="14"/>
        <v xml:space="preserve"> </v>
      </c>
      <c r="AJ42" s="2" t="str">
        <f t="shared" si="15"/>
        <v xml:space="preserve"> </v>
      </c>
      <c r="AK42" s="2">
        <f t="shared" si="16"/>
        <v>1</v>
      </c>
      <c r="AL42" s="2">
        <f t="shared" si="17"/>
        <v>1</v>
      </c>
      <c r="AM42" s="2" t="str">
        <f t="shared" si="18"/>
        <v xml:space="preserve"> </v>
      </c>
      <c r="AN42" s="2" t="str">
        <f t="shared" si="19"/>
        <v xml:space="preserve"> </v>
      </c>
    </row>
    <row r="43" spans="1:40" x14ac:dyDescent="0.25">
      <c r="A43">
        <v>1836</v>
      </c>
      <c r="B43" s="6">
        <v>8.4576700000000002</v>
      </c>
      <c r="C43" s="6"/>
      <c r="D43" s="6"/>
      <c r="E43" s="6"/>
      <c r="F43" s="6"/>
      <c r="G43" s="6"/>
      <c r="H43" s="6"/>
      <c r="I43" s="6"/>
      <c r="J43" s="6"/>
      <c r="K43" s="6"/>
      <c r="L43" s="6">
        <v>4.9751000000000003</v>
      </c>
      <c r="M43" s="6"/>
      <c r="N43" s="6"/>
      <c r="O43" s="6"/>
      <c r="P43" s="6"/>
      <c r="Q43" s="6">
        <v>0.31211940699801172</v>
      </c>
      <c r="R43" s="6">
        <v>5.3268151860676641E-2</v>
      </c>
      <c r="S43" s="4"/>
      <c r="V43" s="2">
        <f t="shared" si="20"/>
        <v>1</v>
      </c>
      <c r="W43" s="2" t="str">
        <f t="shared" si="3"/>
        <v xml:space="preserve"> </v>
      </c>
      <c r="X43" s="2" t="str">
        <f t="shared" si="4"/>
        <v xml:space="preserve"> </v>
      </c>
      <c r="Y43" s="2" t="str">
        <f t="shared" si="5"/>
        <v xml:space="preserve"> </v>
      </c>
      <c r="Z43" s="2" t="str">
        <f t="shared" si="6"/>
        <v xml:space="preserve"> </v>
      </c>
      <c r="AA43" s="2" t="str">
        <f t="shared" si="7"/>
        <v xml:space="preserve"> </v>
      </c>
      <c r="AB43" s="2" t="str">
        <f t="shared" si="8"/>
        <v xml:space="preserve"> </v>
      </c>
      <c r="AC43" s="2" t="str">
        <f t="shared" si="9"/>
        <v xml:space="preserve"> </v>
      </c>
      <c r="AD43" s="2" t="str">
        <f t="shared" si="10"/>
        <v xml:space="preserve"> </v>
      </c>
      <c r="AF43" s="2">
        <f t="shared" si="11"/>
        <v>1</v>
      </c>
      <c r="AG43" s="2" t="str">
        <f t="shared" si="12"/>
        <v xml:space="preserve"> </v>
      </c>
      <c r="AH43" s="2" t="str">
        <f t="shared" si="13"/>
        <v xml:space="preserve"> </v>
      </c>
      <c r="AI43" s="2" t="str">
        <f t="shared" si="14"/>
        <v xml:space="preserve"> </v>
      </c>
      <c r="AJ43" s="2" t="str">
        <f t="shared" si="15"/>
        <v xml:space="preserve"> </v>
      </c>
      <c r="AK43" s="2">
        <f t="shared" si="16"/>
        <v>1</v>
      </c>
      <c r="AL43" s="2">
        <f t="shared" si="17"/>
        <v>1</v>
      </c>
      <c r="AM43" s="2" t="str">
        <f t="shared" si="18"/>
        <v xml:space="preserve"> </v>
      </c>
      <c r="AN43" s="2" t="str">
        <f t="shared" si="19"/>
        <v xml:space="preserve"> </v>
      </c>
    </row>
    <row r="44" spans="1:40" x14ac:dyDescent="0.25">
      <c r="A44">
        <v>1837</v>
      </c>
      <c r="B44" s="6">
        <v>8.0299499999999995</v>
      </c>
      <c r="C44" s="6"/>
      <c r="D44" s="6"/>
      <c r="E44" s="6"/>
      <c r="F44" s="6"/>
      <c r="G44" s="6"/>
      <c r="H44" s="6"/>
      <c r="I44" s="6"/>
      <c r="J44" s="6"/>
      <c r="K44" s="6"/>
      <c r="L44" s="6">
        <v>5.3532999999999999</v>
      </c>
      <c r="M44" s="6"/>
      <c r="N44" s="6"/>
      <c r="O44" s="6"/>
      <c r="P44" s="6"/>
      <c r="Q44" s="6">
        <v>0.2831933843743909</v>
      </c>
      <c r="R44" s="6">
        <v>6.3911316231144877E-2</v>
      </c>
      <c r="S44" s="4"/>
      <c r="V44" s="2">
        <f t="shared" si="20"/>
        <v>1</v>
      </c>
      <c r="W44" s="2" t="str">
        <f t="shared" si="3"/>
        <v xml:space="preserve"> </v>
      </c>
      <c r="X44" s="2" t="str">
        <f t="shared" si="4"/>
        <v xml:space="preserve"> </v>
      </c>
      <c r="Y44" s="2" t="str">
        <f t="shared" si="5"/>
        <v xml:space="preserve"> </v>
      </c>
      <c r="Z44" s="2" t="str">
        <f t="shared" si="6"/>
        <v xml:space="preserve"> </v>
      </c>
      <c r="AA44" s="2" t="str">
        <f t="shared" si="7"/>
        <v xml:space="preserve"> </v>
      </c>
      <c r="AB44" s="2" t="str">
        <f t="shared" si="8"/>
        <v xml:space="preserve"> </v>
      </c>
      <c r="AC44" s="2" t="str">
        <f t="shared" si="9"/>
        <v xml:space="preserve"> </v>
      </c>
      <c r="AD44" s="2" t="str">
        <f t="shared" si="10"/>
        <v xml:space="preserve"> </v>
      </c>
      <c r="AF44" s="2">
        <f t="shared" si="11"/>
        <v>1</v>
      </c>
      <c r="AG44" s="2" t="str">
        <f t="shared" si="12"/>
        <v xml:space="preserve"> </v>
      </c>
      <c r="AH44" s="2" t="str">
        <f t="shared" si="13"/>
        <v xml:space="preserve"> </v>
      </c>
      <c r="AI44" s="2" t="str">
        <f t="shared" si="14"/>
        <v xml:space="preserve"> </v>
      </c>
      <c r="AJ44" s="2" t="str">
        <f t="shared" si="15"/>
        <v xml:space="preserve"> </v>
      </c>
      <c r="AK44" s="2">
        <f t="shared" si="16"/>
        <v>1</v>
      </c>
      <c r="AL44" s="2">
        <f t="shared" si="17"/>
        <v>1</v>
      </c>
      <c r="AM44" s="2" t="str">
        <f t="shared" si="18"/>
        <v xml:space="preserve"> </v>
      </c>
      <c r="AN44" s="2" t="str">
        <f t="shared" si="19"/>
        <v xml:space="preserve"> </v>
      </c>
    </row>
    <row r="45" spans="1:40" x14ac:dyDescent="0.25">
      <c r="A45">
        <v>1838</v>
      </c>
      <c r="B45" s="6">
        <v>10.69782</v>
      </c>
      <c r="C45" s="6"/>
      <c r="D45" s="6"/>
      <c r="E45" s="6"/>
      <c r="F45" s="6"/>
      <c r="G45" s="6"/>
      <c r="H45" s="6"/>
      <c r="I45" s="6"/>
      <c r="J45" s="6"/>
      <c r="K45" s="6"/>
      <c r="L45" s="6">
        <v>5.6036200000000003</v>
      </c>
      <c r="M45" s="6"/>
      <c r="N45" s="6"/>
      <c r="O45" s="6"/>
      <c r="P45" s="6"/>
      <c r="Q45" s="6">
        <v>0.25694811394388045</v>
      </c>
      <c r="R45" s="6">
        <v>6.690031537645931E-2</v>
      </c>
      <c r="S45" s="4"/>
      <c r="V45" s="2">
        <f t="shared" si="20"/>
        <v>1</v>
      </c>
      <c r="W45" s="2" t="str">
        <f t="shared" si="3"/>
        <v xml:space="preserve"> </v>
      </c>
      <c r="X45" s="2" t="str">
        <f t="shared" si="4"/>
        <v xml:space="preserve"> </v>
      </c>
      <c r="Y45" s="2" t="str">
        <f t="shared" si="5"/>
        <v xml:space="preserve"> </v>
      </c>
      <c r="Z45" s="2" t="str">
        <f t="shared" si="6"/>
        <v xml:space="preserve"> </v>
      </c>
      <c r="AA45" s="2" t="str">
        <f t="shared" si="7"/>
        <v xml:space="preserve"> </v>
      </c>
      <c r="AB45" s="2" t="str">
        <f t="shared" si="8"/>
        <v xml:space="preserve"> </v>
      </c>
      <c r="AC45" s="2" t="str">
        <f t="shared" si="9"/>
        <v xml:space="preserve"> </v>
      </c>
      <c r="AD45" s="2" t="str">
        <f t="shared" si="10"/>
        <v xml:space="preserve"> </v>
      </c>
      <c r="AF45" s="2">
        <f t="shared" si="11"/>
        <v>1</v>
      </c>
      <c r="AG45" s="2" t="str">
        <f t="shared" si="12"/>
        <v xml:space="preserve"> </v>
      </c>
      <c r="AH45" s="2" t="str">
        <f t="shared" si="13"/>
        <v xml:space="preserve"> </v>
      </c>
      <c r="AI45" s="2" t="str">
        <f t="shared" si="14"/>
        <v xml:space="preserve"> </v>
      </c>
      <c r="AJ45" s="2" t="str">
        <f t="shared" si="15"/>
        <v xml:space="preserve"> </v>
      </c>
      <c r="AK45" s="2">
        <f t="shared" si="16"/>
        <v>1</v>
      </c>
      <c r="AL45" s="2">
        <f t="shared" si="17"/>
        <v>1</v>
      </c>
      <c r="AM45" s="2" t="str">
        <f t="shared" si="18"/>
        <v xml:space="preserve"> </v>
      </c>
      <c r="AN45" s="2" t="str">
        <f t="shared" si="19"/>
        <v xml:space="preserve"> </v>
      </c>
    </row>
    <row r="46" spans="1:40" x14ac:dyDescent="0.25">
      <c r="A46">
        <v>1839</v>
      </c>
      <c r="B46" s="6">
        <v>12.609220000000001</v>
      </c>
      <c r="C46" s="6"/>
      <c r="D46" s="6"/>
      <c r="E46" s="6"/>
      <c r="F46" s="6"/>
      <c r="G46" s="6"/>
      <c r="H46" s="6"/>
      <c r="I46" s="6"/>
      <c r="J46" s="6"/>
      <c r="K46" s="6"/>
      <c r="L46" s="6">
        <v>4.8497000000000003</v>
      </c>
      <c r="M46" s="6"/>
      <c r="N46" s="6"/>
      <c r="O46" s="6"/>
      <c r="P46" s="6"/>
      <c r="Q46" s="6">
        <v>0.23313515393436485</v>
      </c>
      <c r="R46" s="6">
        <v>6.1910224604013846E-2</v>
      </c>
      <c r="S46" s="4"/>
      <c r="V46" s="2">
        <f t="shared" si="20"/>
        <v>1</v>
      </c>
      <c r="W46" s="2" t="str">
        <f t="shared" si="3"/>
        <v xml:space="preserve"> </v>
      </c>
      <c r="X46" s="2" t="str">
        <f t="shared" si="4"/>
        <v xml:space="preserve"> </v>
      </c>
      <c r="Y46" s="2" t="str">
        <f t="shared" si="5"/>
        <v xml:space="preserve"> </v>
      </c>
      <c r="Z46" s="2" t="str">
        <f t="shared" si="6"/>
        <v xml:space="preserve"> </v>
      </c>
      <c r="AA46" s="2" t="str">
        <f t="shared" si="7"/>
        <v xml:space="preserve"> </v>
      </c>
      <c r="AB46" s="2" t="str">
        <f t="shared" si="8"/>
        <v xml:space="preserve"> </v>
      </c>
      <c r="AC46" s="2" t="str">
        <f t="shared" si="9"/>
        <v xml:space="preserve"> </v>
      </c>
      <c r="AD46" s="2" t="str">
        <f t="shared" si="10"/>
        <v xml:space="preserve"> </v>
      </c>
      <c r="AF46" s="2">
        <f t="shared" si="11"/>
        <v>1</v>
      </c>
      <c r="AG46" s="2" t="str">
        <f t="shared" si="12"/>
        <v xml:space="preserve"> </v>
      </c>
      <c r="AH46" s="2" t="str">
        <f t="shared" si="13"/>
        <v xml:space="preserve"> </v>
      </c>
      <c r="AI46" s="2" t="str">
        <f t="shared" si="14"/>
        <v xml:space="preserve"> </v>
      </c>
      <c r="AJ46" s="2" t="str">
        <f t="shared" si="15"/>
        <v xml:space="preserve"> </v>
      </c>
      <c r="AK46" s="2">
        <f t="shared" si="16"/>
        <v>1</v>
      </c>
      <c r="AL46" s="2">
        <f t="shared" si="17"/>
        <v>1</v>
      </c>
      <c r="AM46" s="2" t="str">
        <f t="shared" si="18"/>
        <v xml:space="preserve"> </v>
      </c>
      <c r="AN46" s="2" t="str">
        <f t="shared" si="19"/>
        <v xml:space="preserve"> </v>
      </c>
    </row>
    <row r="47" spans="1:40" x14ac:dyDescent="0.25">
      <c r="A47">
        <v>1840</v>
      </c>
      <c r="B47" s="6">
        <v>17.315999999999999</v>
      </c>
      <c r="C47" s="6"/>
      <c r="D47" s="6"/>
      <c r="E47" s="6"/>
      <c r="F47" s="6"/>
      <c r="G47" s="6"/>
      <c r="H47" s="6"/>
      <c r="I47" s="6"/>
      <c r="J47" s="6"/>
      <c r="K47" s="6"/>
      <c r="L47" s="6">
        <v>7.2149999999999999</v>
      </c>
      <c r="M47" s="6"/>
      <c r="N47" s="6"/>
      <c r="O47" s="6"/>
      <c r="P47" s="6"/>
      <c r="Q47" s="6">
        <v>0.21152908719879104</v>
      </c>
      <c r="R47" s="6">
        <v>9.7342143179579621E-2</v>
      </c>
      <c r="S47" s="4"/>
      <c r="V47" s="2">
        <f t="shared" si="20"/>
        <v>1</v>
      </c>
      <c r="W47" s="2" t="str">
        <f t="shared" si="3"/>
        <v xml:space="preserve"> </v>
      </c>
      <c r="X47" s="2" t="str">
        <f t="shared" si="4"/>
        <v xml:space="preserve"> </v>
      </c>
      <c r="Y47" s="2" t="str">
        <f t="shared" si="5"/>
        <v xml:space="preserve"> </v>
      </c>
      <c r="Z47" s="2" t="str">
        <f t="shared" si="6"/>
        <v xml:space="preserve"> </v>
      </c>
      <c r="AA47" s="2" t="str">
        <f t="shared" si="7"/>
        <v xml:space="preserve"> </v>
      </c>
      <c r="AB47" s="2" t="str">
        <f t="shared" si="8"/>
        <v xml:space="preserve"> </v>
      </c>
      <c r="AC47" s="2" t="str">
        <f t="shared" si="9"/>
        <v xml:space="preserve"> </v>
      </c>
      <c r="AD47" s="2" t="str">
        <f t="shared" si="10"/>
        <v xml:space="preserve"> </v>
      </c>
      <c r="AF47" s="2">
        <f t="shared" si="11"/>
        <v>1</v>
      </c>
      <c r="AG47" s="2" t="str">
        <f t="shared" si="12"/>
        <v xml:space="preserve"> </v>
      </c>
      <c r="AH47" s="2" t="str">
        <f t="shared" si="13"/>
        <v xml:space="preserve"> </v>
      </c>
      <c r="AI47" s="2" t="str">
        <f t="shared" si="14"/>
        <v xml:space="preserve"> </v>
      </c>
      <c r="AJ47" s="2" t="str">
        <f t="shared" si="15"/>
        <v xml:space="preserve"> </v>
      </c>
      <c r="AK47" s="2">
        <f t="shared" si="16"/>
        <v>1</v>
      </c>
      <c r="AL47" s="2">
        <f t="shared" si="17"/>
        <v>1</v>
      </c>
      <c r="AM47" s="2" t="str">
        <f t="shared" si="18"/>
        <v xml:space="preserve"> </v>
      </c>
      <c r="AN47" s="2" t="str">
        <f t="shared" si="19"/>
        <v xml:space="preserve"> </v>
      </c>
    </row>
    <row r="48" spans="1:40" x14ac:dyDescent="0.25">
      <c r="A48">
        <v>1841</v>
      </c>
      <c r="B48" s="6">
        <v>15.136679999999998</v>
      </c>
      <c r="C48" s="6"/>
      <c r="D48" s="6"/>
      <c r="E48" s="6"/>
      <c r="F48" s="6"/>
      <c r="G48" s="6"/>
      <c r="H48" s="6"/>
      <c r="I48" s="6"/>
      <c r="J48" s="6"/>
      <c r="K48" s="6"/>
      <c r="L48" s="6">
        <v>6.3476399999999993</v>
      </c>
      <c r="M48" s="6"/>
      <c r="N48" s="6"/>
      <c r="O48" s="6"/>
      <c r="P48" s="6"/>
      <c r="Q48" s="6">
        <v>0.19192538738173659</v>
      </c>
      <c r="R48" s="6">
        <v>8.9807399999999996E-2</v>
      </c>
      <c r="S48" s="4"/>
      <c r="V48" s="2">
        <f t="shared" si="20"/>
        <v>1</v>
      </c>
      <c r="W48" s="2" t="str">
        <f t="shared" si="3"/>
        <v xml:space="preserve"> </v>
      </c>
      <c r="X48" s="2" t="str">
        <f t="shared" si="4"/>
        <v xml:space="preserve"> </v>
      </c>
      <c r="Y48" s="2" t="str">
        <f t="shared" si="5"/>
        <v xml:space="preserve"> </v>
      </c>
      <c r="Z48" s="2" t="str">
        <f t="shared" si="6"/>
        <v xml:space="preserve"> </v>
      </c>
      <c r="AA48" s="2" t="str">
        <f t="shared" si="7"/>
        <v xml:space="preserve"> </v>
      </c>
      <c r="AB48" s="2" t="str">
        <f t="shared" si="8"/>
        <v xml:space="preserve"> </v>
      </c>
      <c r="AC48" s="2" t="str">
        <f t="shared" si="9"/>
        <v xml:space="preserve"> </v>
      </c>
      <c r="AD48" s="2" t="str">
        <f t="shared" si="10"/>
        <v xml:space="preserve"> </v>
      </c>
      <c r="AF48" s="2">
        <f t="shared" si="11"/>
        <v>1</v>
      </c>
      <c r="AG48" s="2" t="str">
        <f t="shared" si="12"/>
        <v xml:space="preserve"> </v>
      </c>
      <c r="AH48" s="2" t="str">
        <f t="shared" si="13"/>
        <v xml:space="preserve"> </v>
      </c>
      <c r="AI48" s="2" t="str">
        <f t="shared" si="14"/>
        <v xml:space="preserve"> </v>
      </c>
      <c r="AJ48" s="2" t="str">
        <f t="shared" si="15"/>
        <v xml:space="preserve"> </v>
      </c>
      <c r="AK48" s="2">
        <f t="shared" si="16"/>
        <v>1</v>
      </c>
      <c r="AL48" s="2">
        <f t="shared" si="17"/>
        <v>1</v>
      </c>
      <c r="AM48" s="2" t="str">
        <f t="shared" si="18"/>
        <v xml:space="preserve"> </v>
      </c>
      <c r="AN48" s="2" t="str">
        <f t="shared" si="19"/>
        <v xml:space="preserve"> </v>
      </c>
    </row>
    <row r="49" spans="1:40" x14ac:dyDescent="0.25">
      <c r="A49">
        <v>1842</v>
      </c>
      <c r="B49" s="6">
        <v>8.1106999999999996</v>
      </c>
      <c r="C49" s="6"/>
      <c r="D49" s="6"/>
      <c r="E49" s="6"/>
      <c r="F49" s="6"/>
      <c r="G49" s="6"/>
      <c r="H49" s="6"/>
      <c r="I49" s="6"/>
      <c r="J49" s="6"/>
      <c r="K49" s="6"/>
      <c r="L49" s="6">
        <v>6.2023000000000001</v>
      </c>
      <c r="M49" s="6"/>
      <c r="N49" s="6"/>
      <c r="O49" s="6"/>
      <c r="P49" s="6"/>
      <c r="Q49" s="6">
        <v>0.17413848284142819</v>
      </c>
      <c r="R49" s="6">
        <v>0.11993000000000001</v>
      </c>
      <c r="S49" s="4"/>
      <c r="V49" s="2">
        <f t="shared" si="20"/>
        <v>1</v>
      </c>
      <c r="W49" s="2" t="str">
        <f t="shared" si="3"/>
        <v xml:space="preserve"> </v>
      </c>
      <c r="X49" s="2" t="str">
        <f t="shared" si="4"/>
        <v xml:space="preserve"> </v>
      </c>
      <c r="Y49" s="2" t="str">
        <f t="shared" si="5"/>
        <v xml:space="preserve"> </v>
      </c>
      <c r="Z49" s="2" t="str">
        <f t="shared" si="6"/>
        <v xml:space="preserve"> </v>
      </c>
      <c r="AA49" s="2" t="str">
        <f t="shared" si="7"/>
        <v xml:space="preserve"> </v>
      </c>
      <c r="AB49" s="2" t="str">
        <f t="shared" si="8"/>
        <v xml:space="preserve"> </v>
      </c>
      <c r="AC49" s="2" t="str">
        <f t="shared" si="9"/>
        <v xml:space="preserve"> </v>
      </c>
      <c r="AD49" s="2" t="str">
        <f t="shared" si="10"/>
        <v xml:space="preserve"> </v>
      </c>
      <c r="AF49" s="2">
        <f t="shared" si="11"/>
        <v>1</v>
      </c>
      <c r="AG49" s="2" t="str">
        <f t="shared" si="12"/>
        <v xml:space="preserve"> </v>
      </c>
      <c r="AH49" s="2" t="str">
        <f t="shared" si="13"/>
        <v xml:space="preserve"> </v>
      </c>
      <c r="AI49" s="2" t="str">
        <f t="shared" si="14"/>
        <v xml:space="preserve"> </v>
      </c>
      <c r="AJ49" s="2" t="str">
        <f t="shared" si="15"/>
        <v xml:space="preserve"> </v>
      </c>
      <c r="AK49" s="2">
        <f t="shared" si="16"/>
        <v>1</v>
      </c>
      <c r="AL49" s="2">
        <f t="shared" si="17"/>
        <v>1</v>
      </c>
      <c r="AM49" s="2" t="str">
        <f t="shared" si="18"/>
        <v xml:space="preserve"> </v>
      </c>
      <c r="AN49" s="2" t="str">
        <f t="shared" si="19"/>
        <v xml:space="preserve"> </v>
      </c>
    </row>
    <row r="50" spans="1:40" x14ac:dyDescent="0.25">
      <c r="A50">
        <v>1843</v>
      </c>
      <c r="B50" s="6">
        <v>9.1389999999999993</v>
      </c>
      <c r="C50" s="6"/>
      <c r="D50" s="6"/>
      <c r="E50" s="6"/>
      <c r="F50" s="6"/>
      <c r="G50" s="6"/>
      <c r="H50" s="6"/>
      <c r="I50" s="6"/>
      <c r="J50" s="6"/>
      <c r="K50" s="6"/>
      <c r="L50" s="6">
        <v>6.2530000000000001</v>
      </c>
      <c r="M50" s="6"/>
      <c r="N50" s="6"/>
      <c r="O50" s="6"/>
      <c r="P50" s="6"/>
      <c r="Q50" s="6">
        <v>0.158</v>
      </c>
      <c r="R50" s="6">
        <v>0.25854119999999997</v>
      </c>
      <c r="S50" s="4"/>
      <c r="V50" s="2">
        <f t="shared" si="20"/>
        <v>1</v>
      </c>
      <c r="W50" s="2" t="str">
        <f t="shared" si="3"/>
        <v xml:space="preserve"> </v>
      </c>
      <c r="X50" s="2" t="str">
        <f t="shared" si="4"/>
        <v xml:space="preserve"> </v>
      </c>
      <c r="Y50" s="2" t="str">
        <f t="shared" si="5"/>
        <v xml:space="preserve"> </v>
      </c>
      <c r="Z50" s="2" t="str">
        <f t="shared" si="6"/>
        <v xml:space="preserve"> </v>
      </c>
      <c r="AA50" s="2" t="str">
        <f t="shared" si="7"/>
        <v xml:space="preserve"> </v>
      </c>
      <c r="AB50" s="2" t="str">
        <f t="shared" si="8"/>
        <v xml:space="preserve"> </v>
      </c>
      <c r="AC50" s="2" t="str">
        <f t="shared" si="9"/>
        <v xml:space="preserve"> </v>
      </c>
      <c r="AD50" s="2" t="str">
        <f t="shared" si="10"/>
        <v xml:space="preserve"> </v>
      </c>
      <c r="AF50" s="2">
        <f t="shared" si="11"/>
        <v>1</v>
      </c>
      <c r="AG50" s="2" t="str">
        <f t="shared" si="12"/>
        <v xml:space="preserve"> </v>
      </c>
      <c r="AH50" s="2" t="str">
        <f t="shared" si="13"/>
        <v xml:space="preserve"> </v>
      </c>
      <c r="AI50" s="2" t="str">
        <f t="shared" si="14"/>
        <v xml:space="preserve"> </v>
      </c>
      <c r="AJ50" s="2" t="str">
        <f t="shared" si="15"/>
        <v xml:space="preserve"> </v>
      </c>
      <c r="AK50" s="2">
        <f t="shared" si="16"/>
        <v>1</v>
      </c>
      <c r="AL50" s="2">
        <f t="shared" si="17"/>
        <v>1</v>
      </c>
      <c r="AM50" s="2" t="str">
        <f t="shared" si="18"/>
        <v xml:space="preserve"> </v>
      </c>
      <c r="AN50" s="2" t="str">
        <f t="shared" si="19"/>
        <v xml:space="preserve"> </v>
      </c>
    </row>
    <row r="51" spans="1:40" x14ac:dyDescent="0.25">
      <c r="A51">
        <v>1844</v>
      </c>
      <c r="B51" s="6">
        <v>5.9055599999999995</v>
      </c>
      <c r="C51" s="6"/>
      <c r="D51" s="6"/>
      <c r="E51" s="6"/>
      <c r="F51" s="6"/>
      <c r="G51" s="6"/>
      <c r="H51" s="6"/>
      <c r="I51" s="6"/>
      <c r="J51" s="6"/>
      <c r="K51" s="6"/>
      <c r="L51" s="6">
        <v>6.3976899999999999</v>
      </c>
      <c r="M51" s="6"/>
      <c r="N51" s="6"/>
      <c r="O51" s="6"/>
      <c r="P51" s="6"/>
      <c r="Q51" s="6">
        <v>0.109</v>
      </c>
      <c r="R51" s="6">
        <v>0.242975</v>
      </c>
      <c r="S51" s="4"/>
      <c r="V51" s="2">
        <f t="shared" si="20"/>
        <v>1</v>
      </c>
      <c r="W51" s="2" t="str">
        <f t="shared" si="3"/>
        <v xml:space="preserve"> </v>
      </c>
      <c r="X51" s="2" t="str">
        <f t="shared" si="4"/>
        <v xml:space="preserve"> </v>
      </c>
      <c r="Y51" s="2" t="str">
        <f t="shared" si="5"/>
        <v xml:space="preserve"> </v>
      </c>
      <c r="Z51" s="2" t="str">
        <f t="shared" si="6"/>
        <v xml:space="preserve"> </v>
      </c>
      <c r="AA51" s="2" t="str">
        <f t="shared" si="7"/>
        <v xml:space="preserve"> </v>
      </c>
      <c r="AB51" s="2" t="str">
        <f t="shared" si="8"/>
        <v xml:space="preserve"> </v>
      </c>
      <c r="AC51" s="2" t="str">
        <f t="shared" si="9"/>
        <v xml:space="preserve"> </v>
      </c>
      <c r="AD51" s="2" t="str">
        <f t="shared" si="10"/>
        <v xml:space="preserve"> </v>
      </c>
      <c r="AF51" s="2">
        <f t="shared" si="11"/>
        <v>1</v>
      </c>
      <c r="AG51" s="2" t="str">
        <f t="shared" si="12"/>
        <v xml:space="preserve"> </v>
      </c>
      <c r="AH51" s="2" t="str">
        <f t="shared" si="13"/>
        <v xml:space="preserve"> </v>
      </c>
      <c r="AI51" s="2" t="str">
        <f t="shared" si="14"/>
        <v xml:space="preserve"> </v>
      </c>
      <c r="AJ51" s="2" t="str">
        <f t="shared" si="15"/>
        <v xml:space="preserve"> </v>
      </c>
      <c r="AK51" s="2">
        <f t="shared" si="16"/>
        <v>1</v>
      </c>
      <c r="AL51" s="2">
        <f t="shared" si="17"/>
        <v>1</v>
      </c>
      <c r="AM51" s="2" t="str">
        <f t="shared" si="18"/>
        <v xml:space="preserve"> </v>
      </c>
      <c r="AN51" s="2" t="str">
        <f t="shared" si="19"/>
        <v xml:space="preserve"> </v>
      </c>
    </row>
    <row r="52" spans="1:40" x14ac:dyDescent="0.25">
      <c r="A52">
        <v>1845</v>
      </c>
      <c r="B52" s="6">
        <v>7.9091199999999997</v>
      </c>
      <c r="C52" s="6"/>
      <c r="D52" s="6"/>
      <c r="E52" s="6"/>
      <c r="F52" s="6"/>
      <c r="G52" s="6"/>
      <c r="H52" s="6"/>
      <c r="I52" s="6"/>
      <c r="J52" s="6"/>
      <c r="K52" s="6"/>
      <c r="L52" s="6">
        <v>8.4034399999999998</v>
      </c>
      <c r="M52" s="6"/>
      <c r="N52" s="6"/>
      <c r="O52" s="6"/>
      <c r="P52" s="6"/>
      <c r="Q52" s="6">
        <v>9.8000000000000004E-2</v>
      </c>
      <c r="R52" s="6">
        <v>0.37509009999999993</v>
      </c>
      <c r="S52" s="4"/>
      <c r="V52" s="2">
        <f t="shared" si="20"/>
        <v>1</v>
      </c>
      <c r="W52" s="2" t="str">
        <f t="shared" si="3"/>
        <v xml:space="preserve"> </v>
      </c>
      <c r="X52" s="2" t="str">
        <f t="shared" si="4"/>
        <v xml:space="preserve"> </v>
      </c>
      <c r="Y52" s="2" t="str">
        <f t="shared" si="5"/>
        <v xml:space="preserve"> </v>
      </c>
      <c r="Z52" s="2" t="str">
        <f t="shared" si="6"/>
        <v xml:space="preserve"> </v>
      </c>
      <c r="AA52" s="2" t="str">
        <f t="shared" si="7"/>
        <v xml:space="preserve"> </v>
      </c>
      <c r="AB52" s="2" t="str">
        <f t="shared" si="8"/>
        <v xml:space="preserve"> </v>
      </c>
      <c r="AC52" s="2" t="str">
        <f t="shared" si="9"/>
        <v xml:space="preserve"> </v>
      </c>
      <c r="AD52" s="2" t="str">
        <f t="shared" si="10"/>
        <v xml:space="preserve"> </v>
      </c>
      <c r="AF52" s="2">
        <f t="shared" si="11"/>
        <v>1</v>
      </c>
      <c r="AG52" s="2" t="str">
        <f t="shared" si="12"/>
        <v xml:space="preserve"> </v>
      </c>
      <c r="AH52" s="2" t="str">
        <f t="shared" si="13"/>
        <v xml:space="preserve"> </v>
      </c>
      <c r="AI52" s="2" t="str">
        <f t="shared" si="14"/>
        <v xml:space="preserve"> </v>
      </c>
      <c r="AJ52" s="2" t="str">
        <f t="shared" si="15"/>
        <v xml:space="preserve"> </v>
      </c>
      <c r="AK52" s="2">
        <f t="shared" si="16"/>
        <v>1</v>
      </c>
      <c r="AL52" s="2">
        <f t="shared" si="17"/>
        <v>1</v>
      </c>
      <c r="AM52" s="2" t="str">
        <f t="shared" si="18"/>
        <v xml:space="preserve"> </v>
      </c>
      <c r="AN52" s="2" t="str">
        <f t="shared" si="19"/>
        <v xml:space="preserve"> </v>
      </c>
    </row>
    <row r="53" spans="1:40" x14ac:dyDescent="0.25">
      <c r="A53">
        <v>1846</v>
      </c>
      <c r="B53" s="6">
        <v>9.5785999999999998</v>
      </c>
      <c r="C53" s="6"/>
      <c r="D53" s="6"/>
      <c r="E53" s="6"/>
      <c r="F53" s="6"/>
      <c r="G53" s="6"/>
      <c r="H53" s="6"/>
      <c r="I53" s="6"/>
      <c r="J53" s="6"/>
      <c r="K53" s="6"/>
      <c r="L53" s="6">
        <v>8.6207399999999996</v>
      </c>
      <c r="M53" s="6"/>
      <c r="N53" s="6"/>
      <c r="O53" s="6"/>
      <c r="P53" s="6"/>
      <c r="Q53" s="6">
        <v>0.19</v>
      </c>
      <c r="R53" s="6">
        <v>0.44787869999999996</v>
      </c>
      <c r="S53" s="4"/>
      <c r="V53" s="2">
        <f t="shared" si="20"/>
        <v>1</v>
      </c>
      <c r="W53" s="2" t="str">
        <f t="shared" si="3"/>
        <v xml:space="preserve"> </v>
      </c>
      <c r="X53" s="2" t="str">
        <f t="shared" si="4"/>
        <v xml:space="preserve"> </v>
      </c>
      <c r="Y53" s="2" t="str">
        <f t="shared" si="5"/>
        <v xml:space="preserve"> </v>
      </c>
      <c r="Z53" s="2" t="str">
        <f t="shared" si="6"/>
        <v xml:space="preserve"> </v>
      </c>
      <c r="AA53" s="2" t="str">
        <f t="shared" si="7"/>
        <v xml:space="preserve"> </v>
      </c>
      <c r="AB53" s="2" t="str">
        <f t="shared" si="8"/>
        <v xml:space="preserve"> </v>
      </c>
      <c r="AC53" s="2" t="str">
        <f t="shared" si="9"/>
        <v xml:space="preserve"> </v>
      </c>
      <c r="AD53" s="2" t="str">
        <f t="shared" si="10"/>
        <v xml:space="preserve"> </v>
      </c>
      <c r="AF53" s="2">
        <f t="shared" si="11"/>
        <v>1</v>
      </c>
      <c r="AG53" s="2" t="str">
        <f t="shared" si="12"/>
        <v xml:space="preserve"> </v>
      </c>
      <c r="AH53" s="2" t="str">
        <f t="shared" si="13"/>
        <v xml:space="preserve"> </v>
      </c>
      <c r="AI53" s="2" t="str">
        <f t="shared" si="14"/>
        <v xml:space="preserve"> </v>
      </c>
      <c r="AJ53" s="2" t="str">
        <f t="shared" si="15"/>
        <v xml:space="preserve"> </v>
      </c>
      <c r="AK53" s="2">
        <f t="shared" si="16"/>
        <v>1</v>
      </c>
      <c r="AL53" s="2">
        <f t="shared" si="17"/>
        <v>1</v>
      </c>
      <c r="AM53" s="2" t="str">
        <f t="shared" si="18"/>
        <v xml:space="preserve"> </v>
      </c>
      <c r="AN53" s="2" t="str">
        <f t="shared" si="19"/>
        <v xml:space="preserve"> </v>
      </c>
    </row>
    <row r="54" spans="1:40" x14ac:dyDescent="0.25">
      <c r="A54">
        <v>1847</v>
      </c>
      <c r="B54" s="6">
        <v>11.256960000000001</v>
      </c>
      <c r="C54" s="6"/>
      <c r="D54" s="6"/>
      <c r="E54" s="6"/>
      <c r="F54" s="6"/>
      <c r="G54" s="6"/>
      <c r="H54" s="6"/>
      <c r="I54" s="6"/>
      <c r="J54" s="6"/>
      <c r="K54" s="6"/>
      <c r="L54" s="6">
        <v>10.318880000000002</v>
      </c>
      <c r="M54" s="6"/>
      <c r="N54" s="6"/>
      <c r="O54" s="6"/>
      <c r="P54" s="6"/>
      <c r="Q54" s="6">
        <v>0.35399999999999998</v>
      </c>
      <c r="R54" s="6">
        <v>0.22049640000000001</v>
      </c>
      <c r="S54" s="4"/>
      <c r="V54" s="2">
        <f t="shared" ref="V54:V117" si="21">+IF(B54&gt;0,1," ")</f>
        <v>1</v>
      </c>
      <c r="W54" s="2" t="str">
        <f t="shared" si="3"/>
        <v xml:space="preserve"> </v>
      </c>
      <c r="X54" s="2" t="str">
        <f t="shared" si="4"/>
        <v xml:space="preserve"> </v>
      </c>
      <c r="Y54" s="2" t="str">
        <f t="shared" si="5"/>
        <v xml:space="preserve"> </v>
      </c>
      <c r="Z54" s="2" t="str">
        <f t="shared" si="6"/>
        <v xml:space="preserve"> </v>
      </c>
      <c r="AA54" s="2" t="str">
        <f t="shared" si="7"/>
        <v xml:space="preserve"> </v>
      </c>
      <c r="AB54" s="2" t="str">
        <f t="shared" si="8"/>
        <v xml:space="preserve"> </v>
      </c>
      <c r="AC54" s="2" t="str">
        <f t="shared" si="9"/>
        <v xml:space="preserve"> </v>
      </c>
      <c r="AD54" s="2" t="str">
        <f t="shared" si="10"/>
        <v xml:space="preserve"> </v>
      </c>
      <c r="AF54" s="2">
        <f t="shared" si="11"/>
        <v>1</v>
      </c>
      <c r="AG54" s="2" t="str">
        <f t="shared" si="12"/>
        <v xml:space="preserve"> </v>
      </c>
      <c r="AH54" s="2" t="str">
        <f t="shared" si="13"/>
        <v xml:space="preserve"> </v>
      </c>
      <c r="AI54" s="2" t="str">
        <f t="shared" si="14"/>
        <v xml:space="preserve"> </v>
      </c>
      <c r="AJ54" s="2" t="str">
        <f t="shared" si="15"/>
        <v xml:space="preserve"> </v>
      </c>
      <c r="AK54" s="2">
        <f t="shared" si="16"/>
        <v>1</v>
      </c>
      <c r="AL54" s="2">
        <f t="shared" si="17"/>
        <v>1</v>
      </c>
      <c r="AM54" s="2" t="str">
        <f t="shared" si="18"/>
        <v xml:space="preserve"> </v>
      </c>
      <c r="AN54" s="2" t="str">
        <f t="shared" si="19"/>
        <v xml:space="preserve"> </v>
      </c>
    </row>
    <row r="55" spans="1:40" x14ac:dyDescent="0.25">
      <c r="A55">
        <v>1848</v>
      </c>
      <c r="B55" s="6">
        <v>9.5191999999999997</v>
      </c>
      <c r="C55" s="6"/>
      <c r="D55" s="6"/>
      <c r="E55" s="6"/>
      <c r="F55" s="6"/>
      <c r="G55" s="6"/>
      <c r="H55" s="6"/>
      <c r="I55" s="6"/>
      <c r="J55" s="6"/>
      <c r="K55" s="6"/>
      <c r="L55" s="6">
        <v>10.947079999999998</v>
      </c>
      <c r="M55" s="6"/>
      <c r="N55" s="6"/>
      <c r="O55" s="6"/>
      <c r="P55" s="6"/>
      <c r="Q55" s="6">
        <v>0.51900000000000002</v>
      </c>
      <c r="R55" s="6">
        <v>0.21421400000000002</v>
      </c>
      <c r="S55" s="4"/>
      <c r="V55" s="2">
        <f t="shared" si="21"/>
        <v>1</v>
      </c>
      <c r="W55" s="2" t="str">
        <f t="shared" si="3"/>
        <v xml:space="preserve"> </v>
      </c>
      <c r="X55" s="2" t="str">
        <f t="shared" si="4"/>
        <v xml:space="preserve"> </v>
      </c>
      <c r="Y55" s="2" t="str">
        <f t="shared" si="5"/>
        <v xml:space="preserve"> </v>
      </c>
      <c r="Z55" s="2" t="str">
        <f t="shared" si="6"/>
        <v xml:space="preserve"> </v>
      </c>
      <c r="AA55" s="2" t="str">
        <f t="shared" si="7"/>
        <v xml:space="preserve"> </v>
      </c>
      <c r="AB55" s="2" t="str">
        <f t="shared" si="8"/>
        <v xml:space="preserve"> </v>
      </c>
      <c r="AC55" s="2" t="str">
        <f t="shared" si="9"/>
        <v xml:space="preserve"> </v>
      </c>
      <c r="AD55" s="2" t="str">
        <f t="shared" si="10"/>
        <v xml:space="preserve"> </v>
      </c>
      <c r="AF55" s="2">
        <f t="shared" si="11"/>
        <v>1</v>
      </c>
      <c r="AG55" s="2" t="str">
        <f t="shared" si="12"/>
        <v xml:space="preserve"> </v>
      </c>
      <c r="AH55" s="2" t="str">
        <f t="shared" si="13"/>
        <v xml:space="preserve"> </v>
      </c>
      <c r="AI55" s="2" t="str">
        <f t="shared" si="14"/>
        <v xml:space="preserve"> </v>
      </c>
      <c r="AJ55" s="2" t="str">
        <f t="shared" si="15"/>
        <v xml:space="preserve"> </v>
      </c>
      <c r="AK55" s="2">
        <f t="shared" si="16"/>
        <v>1</v>
      </c>
      <c r="AL55" s="2">
        <f t="shared" si="17"/>
        <v>1</v>
      </c>
      <c r="AM55" s="2" t="str">
        <f t="shared" si="18"/>
        <v xml:space="preserve"> </v>
      </c>
      <c r="AN55" s="2" t="str">
        <f t="shared" si="19"/>
        <v xml:space="preserve"> </v>
      </c>
    </row>
    <row r="56" spans="1:40" x14ac:dyDescent="0.25">
      <c r="A56">
        <v>1849</v>
      </c>
      <c r="B56" s="6">
        <v>11.704000000000001</v>
      </c>
      <c r="C56" s="6"/>
      <c r="D56" s="6"/>
      <c r="E56" s="6"/>
      <c r="F56" s="6"/>
      <c r="G56" s="6"/>
      <c r="H56" s="6"/>
      <c r="I56" s="6"/>
      <c r="J56" s="6"/>
      <c r="K56" s="6"/>
      <c r="L56" s="6">
        <v>11.235840000000001</v>
      </c>
      <c r="M56" s="6"/>
      <c r="N56" s="6"/>
      <c r="O56" s="6"/>
      <c r="P56" s="6"/>
      <c r="Q56" s="6">
        <v>0.161</v>
      </c>
      <c r="R56" s="6">
        <v>0.63062090000000004</v>
      </c>
      <c r="S56" s="4"/>
      <c r="V56" s="2">
        <f t="shared" si="21"/>
        <v>1</v>
      </c>
      <c r="W56" s="2" t="str">
        <f t="shared" si="3"/>
        <v xml:space="preserve"> </v>
      </c>
      <c r="X56" s="2" t="str">
        <f t="shared" si="4"/>
        <v xml:space="preserve"> </v>
      </c>
      <c r="Y56" s="2" t="str">
        <f t="shared" si="5"/>
        <v xml:space="preserve"> </v>
      </c>
      <c r="Z56" s="2" t="str">
        <f t="shared" si="6"/>
        <v xml:space="preserve"> </v>
      </c>
      <c r="AA56" s="2" t="str">
        <f t="shared" si="7"/>
        <v xml:space="preserve"> </v>
      </c>
      <c r="AB56" s="2" t="str">
        <f t="shared" si="8"/>
        <v xml:space="preserve"> </v>
      </c>
      <c r="AC56" s="2" t="str">
        <f t="shared" si="9"/>
        <v xml:space="preserve"> </v>
      </c>
      <c r="AD56" s="2" t="str">
        <f t="shared" si="10"/>
        <v xml:space="preserve"> </v>
      </c>
      <c r="AF56" s="2">
        <f t="shared" si="11"/>
        <v>1</v>
      </c>
      <c r="AG56" s="2" t="str">
        <f t="shared" si="12"/>
        <v xml:space="preserve"> </v>
      </c>
      <c r="AH56" s="2" t="str">
        <f t="shared" si="13"/>
        <v xml:space="preserve"> </v>
      </c>
      <c r="AI56" s="2" t="str">
        <f t="shared" si="14"/>
        <v xml:space="preserve"> </v>
      </c>
      <c r="AJ56" s="2" t="str">
        <f t="shared" si="15"/>
        <v xml:space="preserve"> </v>
      </c>
      <c r="AK56" s="2">
        <f t="shared" si="16"/>
        <v>1</v>
      </c>
      <c r="AL56" s="2">
        <f t="shared" si="17"/>
        <v>1</v>
      </c>
      <c r="AM56" s="2" t="str">
        <f t="shared" si="18"/>
        <v xml:space="preserve"> </v>
      </c>
      <c r="AN56" s="2" t="str">
        <f t="shared" si="19"/>
        <v xml:space="preserve"> </v>
      </c>
    </row>
    <row r="57" spans="1:40" x14ac:dyDescent="0.25">
      <c r="A57">
        <v>1850</v>
      </c>
      <c r="B57" s="6">
        <v>14.8809</v>
      </c>
      <c r="C57" s="6">
        <v>0.59460363475848454</v>
      </c>
      <c r="D57" s="6"/>
      <c r="E57" s="6">
        <v>0.56239105036117265</v>
      </c>
      <c r="F57" s="6">
        <v>0.31575293284849515</v>
      </c>
      <c r="G57" s="6">
        <v>1.0349999999999999</v>
      </c>
      <c r="H57" s="6">
        <v>1.1688479999999999</v>
      </c>
      <c r="I57" s="6"/>
      <c r="J57" s="6"/>
      <c r="K57" s="6"/>
      <c r="L57" s="6">
        <v>13.392810000000001</v>
      </c>
      <c r="M57" s="6">
        <v>0.14197027145351968</v>
      </c>
      <c r="N57" s="6"/>
      <c r="O57" s="6">
        <v>8.8879407883942774E-2</v>
      </c>
      <c r="P57" s="6">
        <v>6.7285237797795563E-2</v>
      </c>
      <c r="Q57" s="6">
        <v>0.443</v>
      </c>
      <c r="R57" s="6">
        <v>0.56007299999999993</v>
      </c>
      <c r="S57" s="4"/>
      <c r="V57" s="2">
        <f t="shared" si="21"/>
        <v>1</v>
      </c>
      <c r="W57" s="2">
        <f t="shared" si="3"/>
        <v>1</v>
      </c>
      <c r="X57" s="2" t="str">
        <f t="shared" si="4"/>
        <v xml:space="preserve"> </v>
      </c>
      <c r="Y57" s="2">
        <f t="shared" si="5"/>
        <v>1</v>
      </c>
      <c r="Z57" s="2">
        <f t="shared" si="6"/>
        <v>1</v>
      </c>
      <c r="AA57" s="2">
        <f t="shared" si="7"/>
        <v>1</v>
      </c>
      <c r="AB57" s="2">
        <f t="shared" si="8"/>
        <v>1</v>
      </c>
      <c r="AC57" s="2" t="str">
        <f t="shared" si="9"/>
        <v xml:space="preserve"> </v>
      </c>
      <c r="AD57" s="2" t="str">
        <f t="shared" si="10"/>
        <v xml:space="preserve"> </v>
      </c>
      <c r="AF57" s="2">
        <f t="shared" si="11"/>
        <v>1</v>
      </c>
      <c r="AG57" s="2">
        <f t="shared" si="12"/>
        <v>1</v>
      </c>
      <c r="AH57" s="2" t="str">
        <f t="shared" si="13"/>
        <v xml:space="preserve"> </v>
      </c>
      <c r="AI57" s="2">
        <f t="shared" si="14"/>
        <v>1</v>
      </c>
      <c r="AJ57" s="2">
        <f t="shared" si="15"/>
        <v>1</v>
      </c>
      <c r="AK57" s="2">
        <f t="shared" si="16"/>
        <v>1</v>
      </c>
      <c r="AL57" s="2">
        <f t="shared" si="17"/>
        <v>1</v>
      </c>
      <c r="AM57" s="2" t="str">
        <f t="shared" si="18"/>
        <v xml:space="preserve"> </v>
      </c>
      <c r="AN57" s="2" t="str">
        <f t="shared" si="19"/>
        <v xml:space="preserve"> </v>
      </c>
    </row>
    <row r="58" spans="1:40" x14ac:dyDescent="0.25">
      <c r="A58">
        <v>1851</v>
      </c>
      <c r="B58" s="6">
        <v>15.657599999999999</v>
      </c>
      <c r="C58" s="6">
        <v>1.0682970159562686</v>
      </c>
      <c r="D58" s="6"/>
      <c r="E58" s="6">
        <v>1.0104221464192442</v>
      </c>
      <c r="F58" s="6">
        <v>2.4467074261741475</v>
      </c>
      <c r="G58" s="6">
        <v>1.8240000000000001</v>
      </c>
      <c r="H58" s="6">
        <v>1.7194449999999999</v>
      </c>
      <c r="I58" s="6"/>
      <c r="J58" s="6"/>
      <c r="K58" s="6"/>
      <c r="L58" s="6">
        <v>14.091839999999999</v>
      </c>
      <c r="M58" s="6">
        <v>0.1891699816181768</v>
      </c>
      <c r="N58" s="6"/>
      <c r="O58" s="6">
        <v>0.11842842718762062</v>
      </c>
      <c r="P58" s="6">
        <v>0.13538843467968109</v>
      </c>
      <c r="Q58" s="6">
        <v>0.57899999999999996</v>
      </c>
      <c r="R58" s="6">
        <v>0.41266680000000006</v>
      </c>
      <c r="S58" s="4"/>
      <c r="V58" s="2">
        <f t="shared" si="21"/>
        <v>1</v>
      </c>
      <c r="W58" s="2">
        <f t="shared" si="3"/>
        <v>1</v>
      </c>
      <c r="X58" s="2" t="str">
        <f t="shared" si="4"/>
        <v xml:space="preserve"> </v>
      </c>
      <c r="Y58" s="2">
        <f t="shared" si="5"/>
        <v>1</v>
      </c>
      <c r="Z58" s="2">
        <f t="shared" si="6"/>
        <v>1</v>
      </c>
      <c r="AA58" s="2">
        <f t="shared" si="7"/>
        <v>1</v>
      </c>
      <c r="AB58" s="2">
        <f t="shared" si="8"/>
        <v>1</v>
      </c>
      <c r="AC58" s="2" t="str">
        <f t="shared" si="9"/>
        <v xml:space="preserve"> </v>
      </c>
      <c r="AD58" s="2" t="str">
        <f t="shared" si="10"/>
        <v xml:space="preserve"> </v>
      </c>
      <c r="AF58" s="2">
        <f t="shared" si="11"/>
        <v>1</v>
      </c>
      <c r="AG58" s="2">
        <f t="shared" si="12"/>
        <v>1</v>
      </c>
      <c r="AH58" s="2" t="str">
        <f t="shared" si="13"/>
        <v xml:space="preserve"> </v>
      </c>
      <c r="AI58" s="2">
        <f t="shared" si="14"/>
        <v>1</v>
      </c>
      <c r="AJ58" s="2">
        <f t="shared" si="15"/>
        <v>1</v>
      </c>
      <c r="AK58" s="2">
        <f t="shared" si="16"/>
        <v>1</v>
      </c>
      <c r="AL58" s="2">
        <f t="shared" si="17"/>
        <v>1</v>
      </c>
      <c r="AM58" s="2" t="str">
        <f t="shared" si="18"/>
        <v xml:space="preserve"> </v>
      </c>
      <c r="AN58" s="2" t="str">
        <f t="shared" si="19"/>
        <v xml:space="preserve"> </v>
      </c>
    </row>
    <row r="59" spans="1:40" x14ac:dyDescent="0.25">
      <c r="A59">
        <v>1852</v>
      </c>
      <c r="B59" s="6">
        <v>25.586400000000001</v>
      </c>
      <c r="C59" s="6">
        <v>0.44019811137844128</v>
      </c>
      <c r="D59" s="6"/>
      <c r="E59" s="6">
        <v>0.41635042867788929</v>
      </c>
      <c r="F59" s="6">
        <v>0.23795202974081334</v>
      </c>
      <c r="G59" s="6">
        <v>0.76</v>
      </c>
      <c r="H59" s="6">
        <v>1.7597461999999997</v>
      </c>
      <c r="I59" s="6"/>
      <c r="J59" s="6"/>
      <c r="K59" s="6"/>
      <c r="L59" s="6">
        <v>58.102450000000005</v>
      </c>
      <c r="M59" s="6">
        <v>0.165105659162434</v>
      </c>
      <c r="N59" s="6"/>
      <c r="O59" s="6">
        <v>0.10336314127179475</v>
      </c>
      <c r="P59" s="6">
        <v>0.1517605043204466</v>
      </c>
      <c r="Q59" s="6">
        <v>0.51100000000000001</v>
      </c>
      <c r="R59" s="6">
        <v>0.71566279999999993</v>
      </c>
      <c r="S59" s="4"/>
      <c r="V59" s="2">
        <f t="shared" si="21"/>
        <v>1</v>
      </c>
      <c r="W59" s="2">
        <f t="shared" si="3"/>
        <v>1</v>
      </c>
      <c r="X59" s="2" t="str">
        <f t="shared" si="4"/>
        <v xml:space="preserve"> </v>
      </c>
      <c r="Y59" s="2">
        <f t="shared" si="5"/>
        <v>1</v>
      </c>
      <c r="Z59" s="2">
        <f t="shared" si="6"/>
        <v>1</v>
      </c>
      <c r="AA59" s="2">
        <f t="shared" si="7"/>
        <v>1</v>
      </c>
      <c r="AB59" s="2">
        <f t="shared" si="8"/>
        <v>1</v>
      </c>
      <c r="AC59" s="2" t="str">
        <f t="shared" si="9"/>
        <v xml:space="preserve"> </v>
      </c>
      <c r="AD59" s="2" t="str">
        <f t="shared" si="10"/>
        <v xml:space="preserve"> </v>
      </c>
      <c r="AF59" s="2">
        <f t="shared" si="11"/>
        <v>1</v>
      </c>
      <c r="AG59" s="2">
        <f t="shared" si="12"/>
        <v>1</v>
      </c>
      <c r="AH59" s="2" t="str">
        <f t="shared" si="13"/>
        <v xml:space="preserve"> </v>
      </c>
      <c r="AI59" s="2">
        <f t="shared" si="14"/>
        <v>1</v>
      </c>
      <c r="AJ59" s="2">
        <f t="shared" si="15"/>
        <v>1</v>
      </c>
      <c r="AK59" s="2">
        <f t="shared" si="16"/>
        <v>1</v>
      </c>
      <c r="AL59" s="2">
        <f t="shared" si="17"/>
        <v>1</v>
      </c>
      <c r="AM59" s="2" t="str">
        <f t="shared" si="18"/>
        <v xml:space="preserve"> </v>
      </c>
      <c r="AN59" s="2" t="str">
        <f t="shared" si="19"/>
        <v xml:space="preserve"> </v>
      </c>
    </row>
    <row r="60" spans="1:40" x14ac:dyDescent="0.25">
      <c r="A60">
        <v>1853</v>
      </c>
      <c r="B60" s="6">
        <v>72.046499999999995</v>
      </c>
      <c r="C60" s="6">
        <v>0.76800974659587729</v>
      </c>
      <c r="D60" s="6"/>
      <c r="E60" s="6">
        <v>0.7264029057795971</v>
      </c>
      <c r="F60" s="6">
        <v>0.60108615108581065</v>
      </c>
      <c r="G60" s="6">
        <v>1.3220000000000001</v>
      </c>
      <c r="H60" s="6">
        <v>2.9228445999999999</v>
      </c>
      <c r="I60" s="6"/>
      <c r="J60" s="6"/>
      <c r="K60" s="6"/>
      <c r="L60" s="6">
        <v>69.164640000000006</v>
      </c>
      <c r="M60" s="6">
        <v>0.11212897491270732</v>
      </c>
      <c r="N60" s="6"/>
      <c r="O60" s="6">
        <v>7.0197491311677185E-2</v>
      </c>
      <c r="P60" s="6">
        <v>5.5990174041809511E-2</v>
      </c>
      <c r="Q60" s="6">
        <v>0.34599999999999997</v>
      </c>
      <c r="R60" s="6">
        <v>1.4809730999999999</v>
      </c>
      <c r="S60" s="4"/>
      <c r="V60" s="2">
        <f t="shared" si="21"/>
        <v>1</v>
      </c>
      <c r="W60" s="2">
        <f t="shared" si="3"/>
        <v>1</v>
      </c>
      <c r="X60" s="2" t="str">
        <f t="shared" si="4"/>
        <v xml:space="preserve"> </v>
      </c>
      <c r="Y60" s="2">
        <f t="shared" si="5"/>
        <v>1</v>
      </c>
      <c r="Z60" s="2">
        <f t="shared" si="6"/>
        <v>1</v>
      </c>
      <c r="AA60" s="2">
        <f t="shared" si="7"/>
        <v>1</v>
      </c>
      <c r="AB60" s="2">
        <f t="shared" si="8"/>
        <v>1</v>
      </c>
      <c r="AC60" s="2" t="str">
        <f t="shared" si="9"/>
        <v xml:space="preserve"> </v>
      </c>
      <c r="AD60" s="2" t="str">
        <f t="shared" si="10"/>
        <v xml:space="preserve"> </v>
      </c>
      <c r="AF60" s="2">
        <f t="shared" si="11"/>
        <v>1</v>
      </c>
      <c r="AG60" s="2">
        <f t="shared" si="12"/>
        <v>1</v>
      </c>
      <c r="AH60" s="2" t="str">
        <f t="shared" si="13"/>
        <v xml:space="preserve"> </v>
      </c>
      <c r="AI60" s="2">
        <f t="shared" si="14"/>
        <v>1</v>
      </c>
      <c r="AJ60" s="2">
        <f t="shared" si="15"/>
        <v>1</v>
      </c>
      <c r="AK60" s="2">
        <f t="shared" si="16"/>
        <v>1</v>
      </c>
      <c r="AL60" s="2">
        <f t="shared" si="17"/>
        <v>1</v>
      </c>
      <c r="AM60" s="2" t="str">
        <f t="shared" si="18"/>
        <v xml:space="preserve"> </v>
      </c>
      <c r="AN60" s="2" t="str">
        <f t="shared" si="19"/>
        <v xml:space="preserve"> </v>
      </c>
    </row>
    <row r="61" spans="1:40" x14ac:dyDescent="0.25">
      <c r="A61">
        <v>1854</v>
      </c>
      <c r="B61" s="6">
        <v>103.11750000000001</v>
      </c>
      <c r="C61" s="6">
        <v>0.92715893395360971</v>
      </c>
      <c r="D61" s="6"/>
      <c r="E61" s="6">
        <v>0.87693020398320931</v>
      </c>
      <c r="F61" s="6">
        <v>1.0162401160862153</v>
      </c>
      <c r="G61" s="6">
        <v>1.591</v>
      </c>
      <c r="H61" s="6">
        <v>4.3503966000000007</v>
      </c>
      <c r="I61" s="6"/>
      <c r="J61" s="6"/>
      <c r="K61" s="6"/>
      <c r="L61" s="6">
        <v>63.703700000000005</v>
      </c>
      <c r="M61" s="6">
        <v>0.14043463545569332</v>
      </c>
      <c r="N61" s="6"/>
      <c r="O61" s="6">
        <v>8.791803465548656E-2</v>
      </c>
      <c r="P61" s="6">
        <v>9.2864090238997082E-2</v>
      </c>
      <c r="Q61" s="6">
        <v>0.432</v>
      </c>
      <c r="R61" s="6">
        <v>1.5673146000000002</v>
      </c>
      <c r="S61" s="4"/>
      <c r="V61" s="2">
        <f t="shared" si="21"/>
        <v>1</v>
      </c>
      <c r="W61" s="2">
        <f t="shared" si="3"/>
        <v>1</v>
      </c>
      <c r="X61" s="2" t="str">
        <f t="shared" si="4"/>
        <v xml:space="preserve"> </v>
      </c>
      <c r="Y61" s="2">
        <f t="shared" si="5"/>
        <v>1</v>
      </c>
      <c r="Z61" s="2">
        <f t="shared" si="6"/>
        <v>1</v>
      </c>
      <c r="AA61" s="2">
        <f t="shared" si="7"/>
        <v>1</v>
      </c>
      <c r="AB61" s="2">
        <f t="shared" si="8"/>
        <v>1</v>
      </c>
      <c r="AC61" s="2" t="str">
        <f t="shared" si="9"/>
        <v xml:space="preserve"> </v>
      </c>
      <c r="AD61" s="2" t="str">
        <f t="shared" si="10"/>
        <v xml:space="preserve"> </v>
      </c>
      <c r="AF61" s="2">
        <f t="shared" si="11"/>
        <v>1</v>
      </c>
      <c r="AG61" s="2">
        <f t="shared" si="12"/>
        <v>1</v>
      </c>
      <c r="AH61" s="2" t="str">
        <f t="shared" si="13"/>
        <v xml:space="preserve"> </v>
      </c>
      <c r="AI61" s="2">
        <f t="shared" si="14"/>
        <v>1</v>
      </c>
      <c r="AJ61" s="2">
        <f t="shared" si="15"/>
        <v>1</v>
      </c>
      <c r="AK61" s="2">
        <f t="shared" si="16"/>
        <v>1</v>
      </c>
      <c r="AL61" s="2">
        <f t="shared" si="17"/>
        <v>1</v>
      </c>
      <c r="AM61" s="2" t="str">
        <f t="shared" si="18"/>
        <v xml:space="preserve"> </v>
      </c>
      <c r="AN61" s="2" t="str">
        <f t="shared" si="19"/>
        <v xml:space="preserve"> </v>
      </c>
    </row>
    <row r="62" spans="1:40" x14ac:dyDescent="0.25">
      <c r="A62">
        <v>1855</v>
      </c>
      <c r="B62" s="6">
        <v>68.021280000000004</v>
      </c>
      <c r="C62" s="6">
        <v>0.80065049046831038</v>
      </c>
      <c r="D62" s="6"/>
      <c r="E62" s="6">
        <v>0.75727534105901495</v>
      </c>
      <c r="F62" s="6">
        <v>0.91291359534935945</v>
      </c>
      <c r="G62" s="6">
        <v>1.383</v>
      </c>
      <c r="H62" s="6">
        <v>3.9724805999999995</v>
      </c>
      <c r="I62" s="6"/>
      <c r="J62" s="6"/>
      <c r="K62" s="6"/>
      <c r="L62" s="6">
        <v>71.327870000000004</v>
      </c>
      <c r="M62" s="6">
        <v>0.1330529434312932</v>
      </c>
      <c r="N62" s="6"/>
      <c r="O62" s="6">
        <v>8.3296782546906173E-2</v>
      </c>
      <c r="P62" s="6">
        <v>9.5725821101621908E-2</v>
      </c>
      <c r="Q62" s="6">
        <v>0.41199999999999992</v>
      </c>
      <c r="R62" s="6">
        <v>1.7883491999999999</v>
      </c>
      <c r="S62" s="4"/>
      <c r="V62" s="2">
        <f t="shared" si="21"/>
        <v>1</v>
      </c>
      <c r="W62" s="2">
        <f t="shared" si="3"/>
        <v>1</v>
      </c>
      <c r="X62" s="2" t="str">
        <f t="shared" si="4"/>
        <v xml:space="preserve"> </v>
      </c>
      <c r="Y62" s="2">
        <f t="shared" si="5"/>
        <v>1</v>
      </c>
      <c r="Z62" s="2">
        <f t="shared" si="6"/>
        <v>1</v>
      </c>
      <c r="AA62" s="2">
        <f t="shared" si="7"/>
        <v>1</v>
      </c>
      <c r="AB62" s="2">
        <f t="shared" si="8"/>
        <v>1</v>
      </c>
      <c r="AC62" s="2" t="str">
        <f t="shared" si="9"/>
        <v xml:space="preserve"> </v>
      </c>
      <c r="AD62" s="2" t="str">
        <f t="shared" si="10"/>
        <v xml:space="preserve"> </v>
      </c>
      <c r="AF62" s="2">
        <f t="shared" si="11"/>
        <v>1</v>
      </c>
      <c r="AG62" s="2">
        <f t="shared" si="12"/>
        <v>1</v>
      </c>
      <c r="AH62" s="2" t="str">
        <f t="shared" si="13"/>
        <v xml:space="preserve"> </v>
      </c>
      <c r="AI62" s="2">
        <f t="shared" si="14"/>
        <v>1</v>
      </c>
      <c r="AJ62" s="2">
        <f t="shared" si="15"/>
        <v>1</v>
      </c>
      <c r="AK62" s="2">
        <f t="shared" si="16"/>
        <v>1</v>
      </c>
      <c r="AL62" s="2">
        <f t="shared" si="17"/>
        <v>1</v>
      </c>
      <c r="AM62" s="2" t="str">
        <f t="shared" si="18"/>
        <v xml:space="preserve"> </v>
      </c>
      <c r="AN62" s="2" t="str">
        <f t="shared" si="19"/>
        <v xml:space="preserve"> </v>
      </c>
    </row>
    <row r="63" spans="1:40" x14ac:dyDescent="0.25">
      <c r="A63">
        <v>1856</v>
      </c>
      <c r="B63" s="6">
        <v>80.038560000000018</v>
      </c>
      <c r="C63" s="6">
        <v>0.66723690661883017</v>
      </c>
      <c r="D63" s="6"/>
      <c r="E63" s="6">
        <v>0.63108942296580717</v>
      </c>
      <c r="F63" s="6">
        <v>0.64151973800687301</v>
      </c>
      <c r="G63" s="6">
        <v>1.1519999999999999</v>
      </c>
      <c r="H63" s="6">
        <v>3.4902278999999998</v>
      </c>
      <c r="I63" s="6"/>
      <c r="J63" s="6"/>
      <c r="K63" s="6"/>
      <c r="L63" s="6">
        <v>78.109920000000002</v>
      </c>
      <c r="M63" s="6">
        <v>0.11631522324086009</v>
      </c>
      <c r="N63" s="6"/>
      <c r="O63" s="6">
        <v>7.2818260215279498E-2</v>
      </c>
      <c r="P63" s="6">
        <v>5.5614754870263891E-2</v>
      </c>
      <c r="Q63" s="6">
        <v>0.36000000000000004</v>
      </c>
      <c r="R63" s="6">
        <v>1.5610302</v>
      </c>
      <c r="S63" s="4"/>
      <c r="V63" s="2">
        <f t="shared" si="21"/>
        <v>1</v>
      </c>
      <c r="W63" s="2">
        <f t="shared" si="3"/>
        <v>1</v>
      </c>
      <c r="X63" s="2" t="str">
        <f t="shared" si="4"/>
        <v xml:space="preserve"> </v>
      </c>
      <c r="Y63" s="2">
        <f t="shared" si="5"/>
        <v>1</v>
      </c>
      <c r="Z63" s="2">
        <f t="shared" si="6"/>
        <v>1</v>
      </c>
      <c r="AA63" s="2">
        <f t="shared" si="7"/>
        <v>1</v>
      </c>
      <c r="AB63" s="2">
        <f t="shared" si="8"/>
        <v>1</v>
      </c>
      <c r="AC63" s="2" t="str">
        <f t="shared" si="9"/>
        <v xml:space="preserve"> </v>
      </c>
      <c r="AD63" s="2" t="str">
        <f t="shared" si="10"/>
        <v xml:space="preserve"> </v>
      </c>
      <c r="AF63" s="2">
        <f t="shared" si="11"/>
        <v>1</v>
      </c>
      <c r="AG63" s="2">
        <f t="shared" si="12"/>
        <v>1</v>
      </c>
      <c r="AH63" s="2" t="str">
        <f t="shared" si="13"/>
        <v xml:space="preserve"> </v>
      </c>
      <c r="AI63" s="2">
        <f t="shared" si="14"/>
        <v>1</v>
      </c>
      <c r="AJ63" s="2">
        <f t="shared" si="15"/>
        <v>1</v>
      </c>
      <c r="AK63" s="2">
        <f t="shared" si="16"/>
        <v>1</v>
      </c>
      <c r="AL63" s="2">
        <f t="shared" si="17"/>
        <v>1</v>
      </c>
      <c r="AM63" s="2" t="str">
        <f t="shared" si="18"/>
        <v xml:space="preserve"> </v>
      </c>
      <c r="AN63" s="2" t="str">
        <f t="shared" si="19"/>
        <v xml:space="preserve"> </v>
      </c>
    </row>
    <row r="64" spans="1:40" x14ac:dyDescent="0.25">
      <c r="A64">
        <v>1857</v>
      </c>
      <c r="B64" s="6">
        <v>89.616239999999991</v>
      </c>
      <c r="C64" s="6">
        <v>0.65367406891717328</v>
      </c>
      <c r="D64" s="6"/>
      <c r="E64" s="6">
        <v>0.61826135045661179</v>
      </c>
      <c r="F64" s="6">
        <v>0.63828207436743123</v>
      </c>
      <c r="G64" s="6">
        <v>1.1299999999999999</v>
      </c>
      <c r="H64" s="6">
        <v>4.8543798000000002</v>
      </c>
      <c r="I64" s="6"/>
      <c r="J64" s="6"/>
      <c r="K64" s="6"/>
      <c r="L64" s="6">
        <v>76.339759999999998</v>
      </c>
      <c r="M64" s="6">
        <v>0.15166562111976592</v>
      </c>
      <c r="N64" s="6"/>
      <c r="O64" s="6">
        <v>9.4949107749564762E-2</v>
      </c>
      <c r="P64" s="6">
        <v>7.8794924911291045E-2</v>
      </c>
      <c r="Q64" s="6">
        <v>0.47</v>
      </c>
      <c r="R64" s="6">
        <v>1.8038934000000002</v>
      </c>
      <c r="S64" s="4"/>
      <c r="V64" s="2">
        <f t="shared" si="21"/>
        <v>1</v>
      </c>
      <c r="W64" s="2">
        <f t="shared" si="3"/>
        <v>1</v>
      </c>
      <c r="X64" s="2" t="str">
        <f t="shared" si="4"/>
        <v xml:space="preserve"> </v>
      </c>
      <c r="Y64" s="2">
        <f t="shared" si="5"/>
        <v>1</v>
      </c>
      <c r="Z64" s="2">
        <f t="shared" si="6"/>
        <v>1</v>
      </c>
      <c r="AA64" s="2">
        <f t="shared" si="7"/>
        <v>1</v>
      </c>
      <c r="AB64" s="2">
        <f t="shared" si="8"/>
        <v>1</v>
      </c>
      <c r="AC64" s="2" t="str">
        <f t="shared" si="9"/>
        <v xml:space="preserve"> </v>
      </c>
      <c r="AD64" s="2" t="str">
        <f t="shared" si="10"/>
        <v xml:space="preserve"> </v>
      </c>
      <c r="AF64" s="2">
        <f t="shared" si="11"/>
        <v>1</v>
      </c>
      <c r="AG64" s="2">
        <f t="shared" si="12"/>
        <v>1</v>
      </c>
      <c r="AH64" s="2" t="str">
        <f t="shared" si="13"/>
        <v xml:space="preserve"> </v>
      </c>
      <c r="AI64" s="2">
        <f t="shared" si="14"/>
        <v>1</v>
      </c>
      <c r="AJ64" s="2">
        <f t="shared" si="15"/>
        <v>1</v>
      </c>
      <c r="AK64" s="2">
        <f t="shared" si="16"/>
        <v>1</v>
      </c>
      <c r="AL64" s="2">
        <f t="shared" si="17"/>
        <v>1</v>
      </c>
      <c r="AM64" s="2" t="str">
        <f t="shared" si="18"/>
        <v xml:space="preserve"> </v>
      </c>
      <c r="AN64" s="2" t="str">
        <f t="shared" si="19"/>
        <v xml:space="preserve"> </v>
      </c>
    </row>
    <row r="65" spans="1:40" x14ac:dyDescent="0.25">
      <c r="A65">
        <v>1858</v>
      </c>
      <c r="B65" s="6">
        <v>85.756499999999988</v>
      </c>
      <c r="C65" s="6">
        <v>0.62914248468255107</v>
      </c>
      <c r="D65" s="6"/>
      <c r="E65" s="6">
        <v>0.59505876201240127</v>
      </c>
      <c r="F65" s="6">
        <v>0.41679729748796468</v>
      </c>
      <c r="G65" s="6">
        <v>1.0900000000000001</v>
      </c>
      <c r="H65" s="6">
        <v>5.5424074999999995</v>
      </c>
      <c r="I65" s="6"/>
      <c r="J65" s="6"/>
      <c r="K65" s="6"/>
      <c r="L65" s="6">
        <v>70.736999999999995</v>
      </c>
      <c r="M65" s="6">
        <v>0.1815967600608559</v>
      </c>
      <c r="N65" s="6"/>
      <c r="O65" s="6">
        <v>0.11368726947271859</v>
      </c>
      <c r="P65" s="6">
        <v>8.663778783015981E-2</v>
      </c>
      <c r="Q65" s="6">
        <v>0.56399999999999995</v>
      </c>
      <c r="R65" s="6">
        <v>2.2247349999999999</v>
      </c>
      <c r="S65" s="4"/>
      <c r="V65" s="2">
        <f t="shared" si="21"/>
        <v>1</v>
      </c>
      <c r="W65" s="2">
        <f t="shared" si="3"/>
        <v>1</v>
      </c>
      <c r="X65" s="2" t="str">
        <f t="shared" si="4"/>
        <v xml:space="preserve"> </v>
      </c>
      <c r="Y65" s="2">
        <f t="shared" si="5"/>
        <v>1</v>
      </c>
      <c r="Z65" s="2">
        <f t="shared" si="6"/>
        <v>1</v>
      </c>
      <c r="AA65" s="2">
        <f t="shared" si="7"/>
        <v>1</v>
      </c>
      <c r="AB65" s="2">
        <f t="shared" si="8"/>
        <v>1</v>
      </c>
      <c r="AC65" s="2" t="str">
        <f t="shared" si="9"/>
        <v xml:space="preserve"> </v>
      </c>
      <c r="AD65" s="2" t="str">
        <f t="shared" si="10"/>
        <v xml:space="preserve"> </v>
      </c>
      <c r="AF65" s="2">
        <f t="shared" si="11"/>
        <v>1</v>
      </c>
      <c r="AG65" s="2">
        <f t="shared" si="12"/>
        <v>1</v>
      </c>
      <c r="AH65" s="2" t="str">
        <f t="shared" si="13"/>
        <v xml:space="preserve"> </v>
      </c>
      <c r="AI65" s="2">
        <f t="shared" si="14"/>
        <v>1</v>
      </c>
      <c r="AJ65" s="2">
        <f t="shared" si="15"/>
        <v>1</v>
      </c>
      <c r="AK65" s="2">
        <f t="shared" si="16"/>
        <v>1</v>
      </c>
      <c r="AL65" s="2">
        <f t="shared" si="17"/>
        <v>1</v>
      </c>
      <c r="AM65" s="2" t="str">
        <f t="shared" si="18"/>
        <v xml:space="preserve"> </v>
      </c>
      <c r="AN65" s="2" t="str">
        <f t="shared" si="19"/>
        <v xml:space="preserve"> </v>
      </c>
    </row>
    <row r="66" spans="1:40" x14ac:dyDescent="0.25">
      <c r="A66">
        <v>1859</v>
      </c>
      <c r="B66" s="6">
        <v>99.221519999999998</v>
      </c>
      <c r="C66" s="6">
        <v>0.90408438232524779</v>
      </c>
      <c r="D66" s="6"/>
      <c r="E66" s="6">
        <v>0.85510571356925746</v>
      </c>
      <c r="F66" s="6">
        <v>1.0876520141595236</v>
      </c>
      <c r="G66" s="6">
        <v>1.556</v>
      </c>
      <c r="H66" s="6">
        <v>7.5831491999999994</v>
      </c>
      <c r="I66" s="6"/>
      <c r="J66" s="6"/>
      <c r="K66" s="6"/>
      <c r="L66" s="6">
        <v>82.684600000000003</v>
      </c>
      <c r="M66" s="6">
        <v>0.23984881147704842</v>
      </c>
      <c r="N66" s="6"/>
      <c r="O66" s="6">
        <v>0.15015552289569828</v>
      </c>
      <c r="P66" s="6">
        <v>0.16422011315554877</v>
      </c>
      <c r="Q66" s="6">
        <v>0.74</v>
      </c>
      <c r="R66" s="6">
        <v>2.7428412</v>
      </c>
      <c r="S66" s="4"/>
      <c r="V66" s="2">
        <f t="shared" si="21"/>
        <v>1</v>
      </c>
      <c r="W66" s="2">
        <f t="shared" si="3"/>
        <v>1</v>
      </c>
      <c r="X66" s="2" t="str">
        <f t="shared" si="4"/>
        <v xml:space="preserve"> </v>
      </c>
      <c r="Y66" s="2">
        <f t="shared" si="5"/>
        <v>1</v>
      </c>
      <c r="Z66" s="2">
        <f t="shared" si="6"/>
        <v>1</v>
      </c>
      <c r="AA66" s="2">
        <f t="shared" si="7"/>
        <v>1</v>
      </c>
      <c r="AB66" s="2">
        <f t="shared" si="8"/>
        <v>1</v>
      </c>
      <c r="AC66" s="2" t="str">
        <f t="shared" si="9"/>
        <v xml:space="preserve"> </v>
      </c>
      <c r="AD66" s="2" t="str">
        <f t="shared" si="10"/>
        <v xml:space="preserve"> </v>
      </c>
      <c r="AF66" s="2">
        <f t="shared" si="11"/>
        <v>1</v>
      </c>
      <c r="AG66" s="2">
        <f t="shared" si="12"/>
        <v>1</v>
      </c>
      <c r="AH66" s="2" t="str">
        <f t="shared" si="13"/>
        <v xml:space="preserve"> </v>
      </c>
      <c r="AI66" s="2">
        <f t="shared" si="14"/>
        <v>1</v>
      </c>
      <c r="AJ66" s="2">
        <f t="shared" si="15"/>
        <v>1</v>
      </c>
      <c r="AK66" s="2">
        <f t="shared" si="16"/>
        <v>1</v>
      </c>
      <c r="AL66" s="2">
        <f t="shared" si="17"/>
        <v>1</v>
      </c>
      <c r="AM66" s="2" t="str">
        <f t="shared" si="18"/>
        <v xml:space="preserve"> </v>
      </c>
      <c r="AN66" s="2" t="str">
        <f t="shared" si="19"/>
        <v xml:space="preserve"> </v>
      </c>
    </row>
    <row r="67" spans="1:40" x14ac:dyDescent="0.25">
      <c r="A67">
        <v>1860</v>
      </c>
      <c r="B67" s="6">
        <v>93.736249999999998</v>
      </c>
      <c r="C67" s="6">
        <v>0.70498529158667789</v>
      </c>
      <c r="D67" s="6"/>
      <c r="E67" s="6">
        <v>0.66679279346425524</v>
      </c>
      <c r="F67" s="6">
        <v>1.0806692183782689</v>
      </c>
      <c r="G67" s="6">
        <v>1.2239999999999998</v>
      </c>
      <c r="H67" s="6">
        <v>7.5067164000000002</v>
      </c>
      <c r="I67" s="6"/>
      <c r="J67" s="6"/>
      <c r="K67" s="6"/>
      <c r="L67" s="6">
        <v>73.617250000000013</v>
      </c>
      <c r="M67" s="6">
        <v>0.21751728993446326</v>
      </c>
      <c r="N67" s="6"/>
      <c r="O67" s="6">
        <v>0.13617504380291653</v>
      </c>
      <c r="P67" s="6">
        <v>0.15825345993231502</v>
      </c>
      <c r="Q67" s="6">
        <v>0.67700000000000005</v>
      </c>
      <c r="R67" s="6">
        <v>2.8562376999999999</v>
      </c>
      <c r="S67" s="4"/>
      <c r="V67" s="2">
        <f t="shared" si="21"/>
        <v>1</v>
      </c>
      <c r="W67" s="2">
        <f t="shared" si="3"/>
        <v>1</v>
      </c>
      <c r="X67" s="2" t="str">
        <f t="shared" si="4"/>
        <v xml:space="preserve"> </v>
      </c>
      <c r="Y67" s="2">
        <f t="shared" si="5"/>
        <v>1</v>
      </c>
      <c r="Z67" s="2">
        <f t="shared" si="6"/>
        <v>1</v>
      </c>
      <c r="AA67" s="2">
        <f t="shared" si="7"/>
        <v>1</v>
      </c>
      <c r="AB67" s="2">
        <f t="shared" si="8"/>
        <v>1</v>
      </c>
      <c r="AC67" s="2" t="str">
        <f t="shared" si="9"/>
        <v xml:space="preserve"> </v>
      </c>
      <c r="AD67" s="2" t="str">
        <f t="shared" si="10"/>
        <v xml:space="preserve"> </v>
      </c>
      <c r="AF67" s="2">
        <f t="shared" si="11"/>
        <v>1</v>
      </c>
      <c r="AG67" s="2">
        <f t="shared" si="12"/>
        <v>1</v>
      </c>
      <c r="AH67" s="2" t="str">
        <f t="shared" si="13"/>
        <v xml:space="preserve"> </v>
      </c>
      <c r="AI67" s="2">
        <f t="shared" si="14"/>
        <v>1</v>
      </c>
      <c r="AJ67" s="2">
        <f t="shared" si="15"/>
        <v>1</v>
      </c>
      <c r="AK67" s="2">
        <f t="shared" si="16"/>
        <v>1</v>
      </c>
      <c r="AL67" s="2">
        <f t="shared" si="17"/>
        <v>1</v>
      </c>
      <c r="AM67" s="2" t="str">
        <f t="shared" si="18"/>
        <v xml:space="preserve"> </v>
      </c>
      <c r="AN67" s="2" t="str">
        <f t="shared" si="19"/>
        <v xml:space="preserve"> </v>
      </c>
    </row>
    <row r="68" spans="1:40" x14ac:dyDescent="0.25">
      <c r="A68">
        <v>1861</v>
      </c>
      <c r="B68" s="6">
        <v>80.704624999999993</v>
      </c>
      <c r="C68" s="6">
        <v>0.43498889755898534</v>
      </c>
      <c r="D68" s="6"/>
      <c r="E68" s="6">
        <v>0.4114234234256095</v>
      </c>
      <c r="F68" s="6">
        <v>0.31246950022940434</v>
      </c>
      <c r="G68" s="6">
        <v>0.76100000000000001</v>
      </c>
      <c r="H68" s="6">
        <v>12.094154200000002</v>
      </c>
      <c r="I68" s="6"/>
      <c r="J68" s="6"/>
      <c r="K68" s="6"/>
      <c r="L68" s="6">
        <v>79.607225</v>
      </c>
      <c r="M68" s="6">
        <v>0.18717079865037953</v>
      </c>
      <c r="N68" s="6"/>
      <c r="O68" s="6">
        <v>0.11717685390674774</v>
      </c>
      <c r="P68" s="6">
        <v>8.7271970435196661E-2</v>
      </c>
      <c r="Q68" s="6">
        <v>0.58699999999999997</v>
      </c>
      <c r="R68" s="6">
        <v>6.6483903</v>
      </c>
      <c r="S68" s="4"/>
      <c r="V68" s="2">
        <f t="shared" si="21"/>
        <v>1</v>
      </c>
      <c r="W68" s="2">
        <f t="shared" si="3"/>
        <v>1</v>
      </c>
      <c r="X68" s="2" t="str">
        <f t="shared" si="4"/>
        <v xml:space="preserve"> </v>
      </c>
      <c r="Y68" s="2">
        <f t="shared" si="5"/>
        <v>1</v>
      </c>
      <c r="Z68" s="2">
        <f t="shared" si="6"/>
        <v>1</v>
      </c>
      <c r="AA68" s="2">
        <f t="shared" si="7"/>
        <v>1</v>
      </c>
      <c r="AB68" s="2">
        <f t="shared" si="8"/>
        <v>1</v>
      </c>
      <c r="AC68" s="2" t="str">
        <f t="shared" si="9"/>
        <v xml:space="preserve"> </v>
      </c>
      <c r="AD68" s="2" t="str">
        <f t="shared" si="10"/>
        <v xml:space="preserve"> </v>
      </c>
      <c r="AF68" s="2">
        <f t="shared" si="11"/>
        <v>1</v>
      </c>
      <c r="AG68" s="2">
        <f t="shared" si="12"/>
        <v>1</v>
      </c>
      <c r="AH68" s="2" t="str">
        <f t="shared" si="13"/>
        <v xml:space="preserve"> </v>
      </c>
      <c r="AI68" s="2">
        <f t="shared" si="14"/>
        <v>1</v>
      </c>
      <c r="AJ68" s="2">
        <f t="shared" si="15"/>
        <v>1</v>
      </c>
      <c r="AK68" s="2">
        <f t="shared" si="16"/>
        <v>1</v>
      </c>
      <c r="AL68" s="2">
        <f t="shared" si="17"/>
        <v>1</v>
      </c>
      <c r="AM68" s="2" t="str">
        <f t="shared" si="18"/>
        <v xml:space="preserve"> </v>
      </c>
      <c r="AN68" s="2" t="str">
        <f t="shared" si="19"/>
        <v xml:space="preserve"> </v>
      </c>
    </row>
    <row r="69" spans="1:40" x14ac:dyDescent="0.25">
      <c r="A69">
        <v>1862</v>
      </c>
      <c r="B69" s="6">
        <v>94.1935</v>
      </c>
      <c r="C69" s="6">
        <v>0.57274268770059111</v>
      </c>
      <c r="D69" s="6"/>
      <c r="E69" s="6">
        <v>0.54171441762788597</v>
      </c>
      <c r="F69" s="6">
        <v>0.46051278225596498</v>
      </c>
      <c r="G69" s="6">
        <v>0.998</v>
      </c>
      <c r="H69" s="6">
        <v>22.432861800000001</v>
      </c>
      <c r="I69" s="6"/>
      <c r="J69" s="6"/>
      <c r="K69" s="6"/>
      <c r="L69" s="6">
        <v>82.625074999999995</v>
      </c>
      <c r="M69" s="6">
        <v>0.2513073237569487</v>
      </c>
      <c r="N69" s="6"/>
      <c r="O69" s="6">
        <v>0.15732903729587211</v>
      </c>
      <c r="P69" s="6">
        <v>0.12876147085958542</v>
      </c>
      <c r="Q69" s="6">
        <v>0.78499999999999992</v>
      </c>
      <c r="R69" s="6">
        <v>11.745004600000001</v>
      </c>
      <c r="S69" s="4"/>
      <c r="V69" s="2">
        <f t="shared" si="21"/>
        <v>1</v>
      </c>
      <c r="W69" s="2">
        <f t="shared" si="3"/>
        <v>1</v>
      </c>
      <c r="X69" s="2" t="str">
        <f t="shared" si="4"/>
        <v xml:space="preserve"> </v>
      </c>
      <c r="Y69" s="2">
        <f t="shared" si="5"/>
        <v>1</v>
      </c>
      <c r="Z69" s="2">
        <f t="shared" si="6"/>
        <v>1</v>
      </c>
      <c r="AA69" s="2">
        <f t="shared" si="7"/>
        <v>1</v>
      </c>
      <c r="AB69" s="2">
        <f t="shared" si="8"/>
        <v>1</v>
      </c>
      <c r="AC69" s="2" t="str">
        <f t="shared" si="9"/>
        <v xml:space="preserve"> </v>
      </c>
      <c r="AD69" s="2" t="str">
        <f t="shared" si="10"/>
        <v xml:space="preserve"> </v>
      </c>
      <c r="AF69" s="2">
        <f t="shared" si="11"/>
        <v>1</v>
      </c>
      <c r="AG69" s="2">
        <f t="shared" si="12"/>
        <v>1</v>
      </c>
      <c r="AH69" s="2" t="str">
        <f t="shared" si="13"/>
        <v xml:space="preserve"> </v>
      </c>
      <c r="AI69" s="2">
        <f t="shared" si="14"/>
        <v>1</v>
      </c>
      <c r="AJ69" s="2">
        <f t="shared" si="15"/>
        <v>1</v>
      </c>
      <c r="AK69" s="2">
        <f t="shared" si="16"/>
        <v>1</v>
      </c>
      <c r="AL69" s="2">
        <f t="shared" si="17"/>
        <v>1</v>
      </c>
      <c r="AM69" s="2" t="str">
        <f t="shared" si="18"/>
        <v xml:space="preserve"> </v>
      </c>
      <c r="AN69" s="2" t="str">
        <f t="shared" si="19"/>
        <v xml:space="preserve"> </v>
      </c>
    </row>
    <row r="70" spans="1:40" x14ac:dyDescent="0.25">
      <c r="A70">
        <v>1863</v>
      </c>
      <c r="B70" s="6">
        <v>97.165625000000006</v>
      </c>
      <c r="C70" s="6">
        <v>0.67373368009121537</v>
      </c>
      <c r="D70" s="6"/>
      <c r="E70" s="6">
        <v>0.63723423447301841</v>
      </c>
      <c r="F70" s="6">
        <v>0.437371427382242</v>
      </c>
      <c r="G70" s="6">
        <v>1.175</v>
      </c>
      <c r="H70" s="6">
        <v>34.066332500000001</v>
      </c>
      <c r="I70" s="6"/>
      <c r="J70" s="6"/>
      <c r="K70" s="6"/>
      <c r="L70" s="6">
        <v>88.477875000000012</v>
      </c>
      <c r="M70" s="6">
        <v>0.30706343324703828</v>
      </c>
      <c r="N70" s="6"/>
      <c r="O70" s="6">
        <v>0.19223472527304752</v>
      </c>
      <c r="P70" s="6">
        <v>0.12149614624510578</v>
      </c>
      <c r="Q70" s="6">
        <v>0.96000000000000008</v>
      </c>
      <c r="R70" s="6">
        <v>16.899810500000001</v>
      </c>
      <c r="S70" s="4"/>
      <c r="V70" s="2">
        <f t="shared" si="21"/>
        <v>1</v>
      </c>
      <c r="W70" s="2">
        <f t="shared" si="3"/>
        <v>1</v>
      </c>
      <c r="X70" s="2" t="str">
        <f t="shared" si="4"/>
        <v xml:space="preserve"> </v>
      </c>
      <c r="Y70" s="2">
        <f t="shared" si="5"/>
        <v>1</v>
      </c>
      <c r="Z70" s="2">
        <f t="shared" si="6"/>
        <v>1</v>
      </c>
      <c r="AA70" s="2">
        <f t="shared" si="7"/>
        <v>1</v>
      </c>
      <c r="AB70" s="2">
        <f t="shared" si="8"/>
        <v>1</v>
      </c>
      <c r="AC70" s="2" t="str">
        <f t="shared" si="9"/>
        <v xml:space="preserve"> </v>
      </c>
      <c r="AD70" s="2" t="str">
        <f t="shared" si="10"/>
        <v xml:space="preserve"> </v>
      </c>
      <c r="AF70" s="2">
        <f t="shared" si="11"/>
        <v>1</v>
      </c>
      <c r="AG70" s="2">
        <f t="shared" si="12"/>
        <v>1</v>
      </c>
      <c r="AH70" s="2" t="str">
        <f t="shared" si="13"/>
        <v xml:space="preserve"> </v>
      </c>
      <c r="AI70" s="2">
        <f t="shared" si="14"/>
        <v>1</v>
      </c>
      <c r="AJ70" s="2">
        <f t="shared" si="15"/>
        <v>1</v>
      </c>
      <c r="AK70" s="2">
        <f t="shared" si="16"/>
        <v>1</v>
      </c>
      <c r="AL70" s="2">
        <f t="shared" si="17"/>
        <v>1</v>
      </c>
      <c r="AM70" s="2" t="str">
        <f t="shared" si="18"/>
        <v xml:space="preserve"> </v>
      </c>
      <c r="AN70" s="2" t="str">
        <f t="shared" si="19"/>
        <v xml:space="preserve"> </v>
      </c>
    </row>
    <row r="71" spans="1:40" x14ac:dyDescent="0.25">
      <c r="A71">
        <v>1864</v>
      </c>
      <c r="B71" s="6">
        <v>93.736249999999998</v>
      </c>
      <c r="C71" s="6">
        <v>0.98160542503020953</v>
      </c>
      <c r="D71" s="6"/>
      <c r="E71" s="6">
        <v>0.92842706258799568</v>
      </c>
      <c r="F71" s="6">
        <v>0.81503981027323202</v>
      </c>
      <c r="G71" s="6">
        <v>1.712</v>
      </c>
      <c r="H71" s="6">
        <v>33.945100000000004</v>
      </c>
      <c r="I71" s="6"/>
      <c r="J71" s="6"/>
      <c r="K71" s="6"/>
      <c r="L71" s="6">
        <v>86.786050000000003</v>
      </c>
      <c r="M71" s="6">
        <v>0.48584466714326735</v>
      </c>
      <c r="N71" s="6"/>
      <c r="O71" s="6">
        <v>0.30415935601984317</v>
      </c>
      <c r="P71" s="6">
        <v>0.26850894941968262</v>
      </c>
      <c r="Q71" s="6">
        <v>1.5189999999999999</v>
      </c>
      <c r="R71" s="6">
        <v>16.4924693</v>
      </c>
      <c r="S71" s="4"/>
      <c r="V71" s="2">
        <f t="shared" si="21"/>
        <v>1</v>
      </c>
      <c r="W71" s="2">
        <f t="shared" si="3"/>
        <v>1</v>
      </c>
      <c r="X71" s="2" t="str">
        <f t="shared" si="4"/>
        <v xml:space="preserve"> </v>
      </c>
      <c r="Y71" s="2">
        <f t="shared" si="5"/>
        <v>1</v>
      </c>
      <c r="Z71" s="2">
        <f t="shared" si="6"/>
        <v>1</v>
      </c>
      <c r="AA71" s="2">
        <f t="shared" si="7"/>
        <v>1</v>
      </c>
      <c r="AB71" s="2">
        <f t="shared" si="8"/>
        <v>1</v>
      </c>
      <c r="AC71" s="2" t="str">
        <f t="shared" si="9"/>
        <v xml:space="preserve"> </v>
      </c>
      <c r="AD71" s="2" t="str">
        <f t="shared" si="10"/>
        <v xml:space="preserve"> </v>
      </c>
      <c r="AF71" s="2">
        <f t="shared" si="11"/>
        <v>1</v>
      </c>
      <c r="AG71" s="2">
        <f t="shared" si="12"/>
        <v>1</v>
      </c>
      <c r="AH71" s="2" t="str">
        <f t="shared" si="13"/>
        <v xml:space="preserve"> </v>
      </c>
      <c r="AI71" s="2">
        <f t="shared" si="14"/>
        <v>1</v>
      </c>
      <c r="AJ71" s="2">
        <f t="shared" si="15"/>
        <v>1</v>
      </c>
      <c r="AK71" s="2">
        <f t="shared" si="16"/>
        <v>1</v>
      </c>
      <c r="AL71" s="2">
        <f t="shared" si="17"/>
        <v>1</v>
      </c>
      <c r="AM71" s="2" t="str">
        <f t="shared" si="18"/>
        <v xml:space="preserve"> </v>
      </c>
      <c r="AN71" s="2" t="str">
        <f t="shared" si="19"/>
        <v xml:space="preserve"> </v>
      </c>
    </row>
    <row r="72" spans="1:40" x14ac:dyDescent="0.25">
      <c r="A72">
        <v>1865</v>
      </c>
      <c r="B72" s="6">
        <v>94.467849999999999</v>
      </c>
      <c r="C72" s="6">
        <v>1.118165063711084</v>
      </c>
      <c r="D72" s="6"/>
      <c r="E72" s="6">
        <v>1.0575885983493332</v>
      </c>
      <c r="F72" s="6">
        <v>1.0319252518645119</v>
      </c>
      <c r="G72" s="6">
        <v>1.946</v>
      </c>
      <c r="H72" s="6">
        <v>27.131833499999999</v>
      </c>
      <c r="I72" s="6"/>
      <c r="J72" s="6"/>
      <c r="K72" s="6"/>
      <c r="L72" s="6">
        <v>90.123975000000002</v>
      </c>
      <c r="M72" s="6">
        <v>0.55035112015204568</v>
      </c>
      <c r="N72" s="6"/>
      <c r="O72" s="6">
        <v>0.34454312995656222</v>
      </c>
      <c r="P72" s="6">
        <v>0.31884805629516721</v>
      </c>
      <c r="Q72" s="6">
        <v>1.7170000000000001</v>
      </c>
      <c r="R72" s="6">
        <v>18.0054509</v>
      </c>
      <c r="S72" s="4"/>
      <c r="V72" s="2">
        <f t="shared" si="21"/>
        <v>1</v>
      </c>
      <c r="W72" s="2">
        <f t="shared" si="3"/>
        <v>1</v>
      </c>
      <c r="X72" s="2" t="str">
        <f t="shared" si="4"/>
        <v xml:space="preserve"> </v>
      </c>
      <c r="Y72" s="2">
        <f t="shared" si="5"/>
        <v>1</v>
      </c>
      <c r="Z72" s="2">
        <f t="shared" si="6"/>
        <v>1</v>
      </c>
      <c r="AA72" s="2">
        <f t="shared" si="7"/>
        <v>1</v>
      </c>
      <c r="AB72" s="2">
        <f t="shared" si="8"/>
        <v>1</v>
      </c>
      <c r="AC72" s="2" t="str">
        <f t="shared" si="9"/>
        <v xml:space="preserve"> </v>
      </c>
      <c r="AD72" s="2" t="str">
        <f t="shared" si="10"/>
        <v xml:space="preserve"> </v>
      </c>
      <c r="AF72" s="2">
        <f t="shared" si="11"/>
        <v>1</v>
      </c>
      <c r="AG72" s="2">
        <f t="shared" si="12"/>
        <v>1</v>
      </c>
      <c r="AH72" s="2" t="str">
        <f t="shared" si="13"/>
        <v xml:space="preserve"> </v>
      </c>
      <c r="AI72" s="2">
        <f t="shared" si="14"/>
        <v>1</v>
      </c>
      <c r="AJ72" s="2">
        <f t="shared" si="15"/>
        <v>1</v>
      </c>
      <c r="AK72" s="2">
        <f t="shared" si="16"/>
        <v>1</v>
      </c>
      <c r="AL72" s="2">
        <f t="shared" si="17"/>
        <v>1</v>
      </c>
      <c r="AM72" s="2" t="str">
        <f t="shared" si="18"/>
        <v xml:space="preserve"> </v>
      </c>
      <c r="AN72" s="2" t="str">
        <f t="shared" si="19"/>
        <v xml:space="preserve"> </v>
      </c>
    </row>
    <row r="73" spans="1:40" x14ac:dyDescent="0.25">
      <c r="A73">
        <v>1866</v>
      </c>
      <c r="B73" s="6">
        <v>97.43997499999999</v>
      </c>
      <c r="C73" s="6">
        <v>1.1459731412878185</v>
      </c>
      <c r="D73" s="6"/>
      <c r="E73" s="6">
        <v>1.0838901764808846</v>
      </c>
      <c r="F73" s="6">
        <v>1.1025850655360259</v>
      </c>
      <c r="G73" s="6">
        <v>1.994</v>
      </c>
      <c r="H73" s="6">
        <v>28.586623499999998</v>
      </c>
      <c r="I73" s="6"/>
      <c r="J73" s="6"/>
      <c r="K73" s="6"/>
      <c r="L73" s="6">
        <v>86.786050000000003</v>
      </c>
      <c r="M73" s="6">
        <v>0.59470237866762865</v>
      </c>
      <c r="N73" s="6"/>
      <c r="O73" s="6">
        <v>0.37230889778538018</v>
      </c>
      <c r="P73" s="6">
        <v>0.43338078009346098</v>
      </c>
      <c r="Q73" s="6">
        <v>1.8550000000000002</v>
      </c>
      <c r="R73" s="6">
        <v>23.373626000000002</v>
      </c>
      <c r="S73" s="4"/>
      <c r="V73" s="2">
        <f t="shared" si="21"/>
        <v>1</v>
      </c>
      <c r="W73" s="2">
        <f t="shared" si="3"/>
        <v>1</v>
      </c>
      <c r="X73" s="2" t="str">
        <f t="shared" si="4"/>
        <v xml:space="preserve"> </v>
      </c>
      <c r="Y73" s="2">
        <f t="shared" si="5"/>
        <v>1</v>
      </c>
      <c r="Z73" s="2">
        <f t="shared" si="6"/>
        <v>1</v>
      </c>
      <c r="AA73" s="2">
        <f t="shared" si="7"/>
        <v>1</v>
      </c>
      <c r="AB73" s="2">
        <f t="shared" si="8"/>
        <v>1</v>
      </c>
      <c r="AC73" s="2" t="str">
        <f t="shared" si="9"/>
        <v xml:space="preserve"> </v>
      </c>
      <c r="AD73" s="2" t="str">
        <f t="shared" si="10"/>
        <v xml:space="preserve"> </v>
      </c>
      <c r="AF73" s="2">
        <f t="shared" si="11"/>
        <v>1</v>
      </c>
      <c r="AG73" s="2">
        <f t="shared" si="12"/>
        <v>1</v>
      </c>
      <c r="AH73" s="2" t="str">
        <f t="shared" si="13"/>
        <v xml:space="preserve"> </v>
      </c>
      <c r="AI73" s="2">
        <f t="shared" si="14"/>
        <v>1</v>
      </c>
      <c r="AJ73" s="2">
        <f t="shared" si="15"/>
        <v>1</v>
      </c>
      <c r="AK73" s="2">
        <f t="shared" si="16"/>
        <v>1</v>
      </c>
      <c r="AL73" s="2">
        <f t="shared" si="17"/>
        <v>1</v>
      </c>
      <c r="AM73" s="2" t="str">
        <f t="shared" si="18"/>
        <v xml:space="preserve"> </v>
      </c>
      <c r="AN73" s="2" t="str">
        <f t="shared" si="19"/>
        <v xml:space="preserve"> </v>
      </c>
    </row>
    <row r="74" spans="1:40" x14ac:dyDescent="0.25">
      <c r="A74">
        <v>1867</v>
      </c>
      <c r="B74" s="6">
        <v>72.977100000000007</v>
      </c>
      <c r="C74" s="6">
        <v>1.1265425854003852</v>
      </c>
      <c r="D74" s="6"/>
      <c r="E74" s="6">
        <v>1.0655122687523626</v>
      </c>
      <c r="F74" s="6">
        <v>1.0781407686526463</v>
      </c>
      <c r="G74" s="6">
        <v>1.9570000000000001</v>
      </c>
      <c r="H74" s="6">
        <v>25.919508499999999</v>
      </c>
      <c r="I74" s="6"/>
      <c r="J74" s="6"/>
      <c r="K74" s="6"/>
      <c r="L74" s="6">
        <v>84.042549999999991</v>
      </c>
      <c r="M74" s="6">
        <v>0.51089710776823005</v>
      </c>
      <c r="N74" s="6"/>
      <c r="O74" s="6">
        <v>0.31984324579477608</v>
      </c>
      <c r="P74" s="6">
        <v>0.28488618567977897</v>
      </c>
      <c r="Q74" s="6">
        <v>1.591</v>
      </c>
      <c r="R74" s="6">
        <v>22.520149200000002</v>
      </c>
      <c r="S74" s="4"/>
      <c r="V74" s="2">
        <f t="shared" si="21"/>
        <v>1</v>
      </c>
      <c r="W74" s="2">
        <f t="shared" si="3"/>
        <v>1</v>
      </c>
      <c r="X74" s="2" t="str">
        <f t="shared" si="4"/>
        <v xml:space="preserve"> </v>
      </c>
      <c r="Y74" s="2">
        <f t="shared" si="5"/>
        <v>1</v>
      </c>
      <c r="Z74" s="2">
        <f t="shared" si="6"/>
        <v>1</v>
      </c>
      <c r="AA74" s="2">
        <f t="shared" si="7"/>
        <v>1</v>
      </c>
      <c r="AB74" s="2">
        <f t="shared" si="8"/>
        <v>1</v>
      </c>
      <c r="AC74" s="2" t="str">
        <f t="shared" si="9"/>
        <v xml:space="preserve"> </v>
      </c>
      <c r="AD74" s="2" t="str">
        <f t="shared" si="10"/>
        <v xml:space="preserve"> </v>
      </c>
      <c r="AF74" s="2">
        <f t="shared" si="11"/>
        <v>1</v>
      </c>
      <c r="AG74" s="2">
        <f t="shared" si="12"/>
        <v>1</v>
      </c>
      <c r="AH74" s="2" t="str">
        <f t="shared" si="13"/>
        <v xml:space="preserve"> </v>
      </c>
      <c r="AI74" s="2">
        <f t="shared" si="14"/>
        <v>1</v>
      </c>
      <c r="AJ74" s="2">
        <f t="shared" si="15"/>
        <v>1</v>
      </c>
      <c r="AK74" s="2">
        <f t="shared" si="16"/>
        <v>1</v>
      </c>
      <c r="AL74" s="2">
        <f t="shared" si="17"/>
        <v>1</v>
      </c>
      <c r="AM74" s="2" t="str">
        <f t="shared" si="18"/>
        <v xml:space="preserve"> </v>
      </c>
      <c r="AN74" s="2" t="str">
        <f t="shared" si="19"/>
        <v xml:space="preserve"> </v>
      </c>
    </row>
    <row r="75" spans="1:40" x14ac:dyDescent="0.25">
      <c r="A75">
        <v>1868</v>
      </c>
      <c r="B75" s="6">
        <v>84.316900000000004</v>
      </c>
      <c r="C75" s="6">
        <v>1.1133471443772494</v>
      </c>
      <c r="D75" s="6"/>
      <c r="E75" s="6">
        <v>1.0530316892483469</v>
      </c>
      <c r="F75" s="6">
        <v>0.99926831924176152</v>
      </c>
      <c r="G75" s="6">
        <v>1.9359999999999999</v>
      </c>
      <c r="H75" s="6">
        <v>24.1786098</v>
      </c>
      <c r="I75" s="6"/>
      <c r="J75" s="6"/>
      <c r="K75" s="6"/>
      <c r="L75" s="6">
        <v>98.994624999999999</v>
      </c>
      <c r="M75" s="6">
        <v>0.57358691796810668</v>
      </c>
      <c r="N75" s="6"/>
      <c r="O75" s="6">
        <v>0.35908972432775532</v>
      </c>
      <c r="P75" s="6">
        <v>0.28382025370240244</v>
      </c>
      <c r="Q75" s="6">
        <v>1.788</v>
      </c>
      <c r="R75" s="6">
        <v>21.477549700000001</v>
      </c>
      <c r="S75" s="4"/>
      <c r="V75" s="2">
        <f t="shared" si="21"/>
        <v>1</v>
      </c>
      <c r="W75" s="2">
        <f t="shared" si="3"/>
        <v>1</v>
      </c>
      <c r="X75" s="2" t="str">
        <f t="shared" si="4"/>
        <v xml:space="preserve"> </v>
      </c>
      <c r="Y75" s="2">
        <f t="shared" si="5"/>
        <v>1</v>
      </c>
      <c r="Z75" s="2">
        <f t="shared" si="6"/>
        <v>1</v>
      </c>
      <c r="AA75" s="2">
        <f t="shared" si="7"/>
        <v>1</v>
      </c>
      <c r="AB75" s="2">
        <f t="shared" si="8"/>
        <v>1</v>
      </c>
      <c r="AC75" s="2" t="str">
        <f t="shared" si="9"/>
        <v xml:space="preserve"> </v>
      </c>
      <c r="AD75" s="2" t="str">
        <f t="shared" si="10"/>
        <v xml:space="preserve"> </v>
      </c>
      <c r="AF75" s="2">
        <f t="shared" si="11"/>
        <v>1</v>
      </c>
      <c r="AG75" s="2">
        <f t="shared" si="12"/>
        <v>1</v>
      </c>
      <c r="AH75" s="2" t="str">
        <f t="shared" si="13"/>
        <v xml:space="preserve"> </v>
      </c>
      <c r="AI75" s="2">
        <f t="shared" si="14"/>
        <v>1</v>
      </c>
      <c r="AJ75" s="2">
        <f t="shared" si="15"/>
        <v>1</v>
      </c>
      <c r="AK75" s="2">
        <f t="shared" si="16"/>
        <v>1</v>
      </c>
      <c r="AL75" s="2">
        <f t="shared" si="17"/>
        <v>1</v>
      </c>
      <c r="AM75" s="2" t="str">
        <f t="shared" si="18"/>
        <v xml:space="preserve"> </v>
      </c>
      <c r="AN75" s="2" t="str">
        <f t="shared" si="19"/>
        <v xml:space="preserve"> </v>
      </c>
    </row>
    <row r="76" spans="1:40" x14ac:dyDescent="0.25">
      <c r="A76">
        <v>1869</v>
      </c>
      <c r="B76" s="6">
        <v>91.038475000000005</v>
      </c>
      <c r="C76" s="6">
        <v>1.1732482673452511</v>
      </c>
      <c r="D76" s="6"/>
      <c r="E76" s="6">
        <v>1.1096876756811771</v>
      </c>
      <c r="F76" s="6">
        <v>1.1741923365228939</v>
      </c>
      <c r="G76" s="6">
        <v>2.04</v>
      </c>
      <c r="H76" s="6">
        <v>24.1301168</v>
      </c>
      <c r="I76" s="6"/>
      <c r="J76" s="6"/>
      <c r="K76" s="6"/>
      <c r="L76" s="6">
        <v>91.770075000000006</v>
      </c>
      <c r="M76" s="6">
        <v>0.72570285440989568</v>
      </c>
      <c r="N76" s="6"/>
      <c r="O76" s="6">
        <v>0.4543207485572473</v>
      </c>
      <c r="P76" s="6">
        <v>0.50578954001599219</v>
      </c>
      <c r="Q76" s="6">
        <v>2.262</v>
      </c>
      <c r="R76" s="6">
        <v>20.4882925</v>
      </c>
      <c r="S76" s="4"/>
      <c r="V76" s="2">
        <f t="shared" si="21"/>
        <v>1</v>
      </c>
      <c r="W76" s="2">
        <f t="shared" si="3"/>
        <v>1</v>
      </c>
      <c r="X76" s="2" t="str">
        <f t="shared" si="4"/>
        <v xml:space="preserve"> </v>
      </c>
      <c r="Y76" s="2">
        <f t="shared" si="5"/>
        <v>1</v>
      </c>
      <c r="Z76" s="2">
        <f t="shared" si="6"/>
        <v>1</v>
      </c>
      <c r="AA76" s="2">
        <f t="shared" si="7"/>
        <v>1</v>
      </c>
      <c r="AB76" s="2">
        <f t="shared" si="8"/>
        <v>1</v>
      </c>
      <c r="AC76" s="2" t="str">
        <f t="shared" si="9"/>
        <v xml:space="preserve"> </v>
      </c>
      <c r="AD76" s="2" t="str">
        <f t="shared" si="10"/>
        <v xml:space="preserve"> </v>
      </c>
      <c r="AF76" s="2">
        <f t="shared" si="11"/>
        <v>1</v>
      </c>
      <c r="AG76" s="2">
        <f t="shared" si="12"/>
        <v>1</v>
      </c>
      <c r="AH76" s="2" t="str">
        <f t="shared" si="13"/>
        <v xml:space="preserve"> </v>
      </c>
      <c r="AI76" s="2">
        <f t="shared" si="14"/>
        <v>1</v>
      </c>
      <c r="AJ76" s="2">
        <f t="shared" si="15"/>
        <v>1</v>
      </c>
      <c r="AK76" s="2">
        <f t="shared" si="16"/>
        <v>1</v>
      </c>
      <c r="AL76" s="2">
        <f t="shared" si="17"/>
        <v>1</v>
      </c>
      <c r="AM76" s="2" t="str">
        <f t="shared" si="18"/>
        <v xml:space="preserve"> </v>
      </c>
      <c r="AN76" s="2" t="str">
        <f t="shared" si="19"/>
        <v xml:space="preserve"> </v>
      </c>
    </row>
    <row r="77" spans="1:40" x14ac:dyDescent="0.25">
      <c r="A77">
        <v>1870</v>
      </c>
      <c r="B77" s="6">
        <v>81.527674999999988</v>
      </c>
      <c r="C77" s="6">
        <v>1.1087954692693016</v>
      </c>
      <c r="D77" s="6"/>
      <c r="E77" s="6">
        <v>1.0487266006225409</v>
      </c>
      <c r="F77" s="6">
        <v>1.261397775854239</v>
      </c>
      <c r="G77" s="6">
        <v>1.93</v>
      </c>
      <c r="H77" s="6">
        <v>22.495902700000002</v>
      </c>
      <c r="I77" s="6"/>
      <c r="J77" s="6"/>
      <c r="K77" s="6"/>
      <c r="L77" s="6">
        <v>82.350725000000011</v>
      </c>
      <c r="M77" s="6">
        <v>0.65185583718320939</v>
      </c>
      <c r="N77" s="6"/>
      <c r="O77" s="6">
        <v>0.40808938548450668</v>
      </c>
      <c r="P77" s="6">
        <v>0.46317318937908913</v>
      </c>
      <c r="Q77" s="6">
        <v>2.0339999999999998</v>
      </c>
      <c r="R77" s="6">
        <v>23.383324600000002</v>
      </c>
      <c r="S77" s="4"/>
      <c r="V77" s="2">
        <f t="shared" si="21"/>
        <v>1</v>
      </c>
      <c r="W77" s="2">
        <f t="shared" si="3"/>
        <v>1</v>
      </c>
      <c r="X77" s="2" t="str">
        <f t="shared" si="4"/>
        <v xml:space="preserve"> </v>
      </c>
      <c r="Y77" s="2">
        <f t="shared" si="5"/>
        <v>1</v>
      </c>
      <c r="Z77" s="2">
        <f t="shared" si="6"/>
        <v>1</v>
      </c>
      <c r="AA77" s="2">
        <f t="shared" si="7"/>
        <v>1</v>
      </c>
      <c r="AB77" s="2">
        <f t="shared" si="8"/>
        <v>1</v>
      </c>
      <c r="AC77" s="2" t="str">
        <f t="shared" si="9"/>
        <v xml:space="preserve"> </v>
      </c>
      <c r="AD77" s="2" t="str">
        <f t="shared" si="10"/>
        <v xml:space="preserve"> </v>
      </c>
      <c r="AF77" s="2">
        <f t="shared" si="11"/>
        <v>1</v>
      </c>
      <c r="AG77" s="2">
        <f t="shared" si="12"/>
        <v>1</v>
      </c>
      <c r="AH77" s="2" t="str">
        <f t="shared" si="13"/>
        <v xml:space="preserve"> </v>
      </c>
      <c r="AI77" s="2">
        <f t="shared" si="14"/>
        <v>1</v>
      </c>
      <c r="AJ77" s="2">
        <f t="shared" si="15"/>
        <v>1</v>
      </c>
      <c r="AK77" s="2">
        <f t="shared" si="16"/>
        <v>1</v>
      </c>
      <c r="AL77" s="2">
        <f t="shared" si="17"/>
        <v>1</v>
      </c>
      <c r="AM77" s="2" t="str">
        <f t="shared" si="18"/>
        <v xml:space="preserve"> </v>
      </c>
      <c r="AN77" s="2" t="str">
        <f t="shared" si="19"/>
        <v xml:space="preserve"> </v>
      </c>
    </row>
    <row r="78" spans="1:40" x14ac:dyDescent="0.25">
      <c r="A78">
        <v>1871</v>
      </c>
      <c r="B78" s="6">
        <v>77.823949999999996</v>
      </c>
      <c r="C78" s="6">
        <v>0.92185298367518309</v>
      </c>
      <c r="D78" s="6"/>
      <c r="E78" s="6">
        <v>0.87191170295863996</v>
      </c>
      <c r="F78" s="6">
        <v>0.80981861605759753</v>
      </c>
      <c r="G78" s="6">
        <v>1.6259999999999999</v>
      </c>
      <c r="H78" s="6">
        <v>19.775445400000002</v>
      </c>
      <c r="I78" s="6"/>
      <c r="J78" s="6"/>
      <c r="K78" s="6"/>
      <c r="L78" s="6">
        <v>99.360425000000006</v>
      </c>
      <c r="M78" s="6">
        <v>0.57433256958848133</v>
      </c>
      <c r="N78" s="6"/>
      <c r="O78" s="6">
        <v>0.35955653384941139</v>
      </c>
      <c r="P78" s="6">
        <v>0.41926515730303798</v>
      </c>
      <c r="Q78" s="6">
        <v>1.8160000000000001</v>
      </c>
      <c r="R78" s="6">
        <v>25.614002600000003</v>
      </c>
      <c r="S78" s="4"/>
      <c r="V78" s="2">
        <f t="shared" si="21"/>
        <v>1</v>
      </c>
      <c r="W78" s="2">
        <f t="shared" si="3"/>
        <v>1</v>
      </c>
      <c r="X78" s="2" t="str">
        <f t="shared" si="4"/>
        <v xml:space="preserve"> </v>
      </c>
      <c r="Y78" s="2">
        <f t="shared" si="5"/>
        <v>1</v>
      </c>
      <c r="Z78" s="2">
        <f t="shared" si="6"/>
        <v>1</v>
      </c>
      <c r="AA78" s="2">
        <f t="shared" si="7"/>
        <v>1</v>
      </c>
      <c r="AB78" s="2">
        <f t="shared" si="8"/>
        <v>1</v>
      </c>
      <c r="AC78" s="2" t="str">
        <f t="shared" si="9"/>
        <v xml:space="preserve"> </v>
      </c>
      <c r="AD78" s="2" t="str">
        <f t="shared" si="10"/>
        <v xml:space="preserve"> </v>
      </c>
      <c r="AF78" s="2">
        <f t="shared" si="11"/>
        <v>1</v>
      </c>
      <c r="AG78" s="2">
        <f t="shared" si="12"/>
        <v>1</v>
      </c>
      <c r="AH78" s="2" t="str">
        <f t="shared" si="13"/>
        <v xml:space="preserve"> </v>
      </c>
      <c r="AI78" s="2">
        <f t="shared" si="14"/>
        <v>1</v>
      </c>
      <c r="AJ78" s="2">
        <f t="shared" si="15"/>
        <v>1</v>
      </c>
      <c r="AK78" s="2">
        <f t="shared" si="16"/>
        <v>1</v>
      </c>
      <c r="AL78" s="2">
        <f t="shared" si="17"/>
        <v>1</v>
      </c>
      <c r="AM78" s="2" t="str">
        <f t="shared" si="18"/>
        <v xml:space="preserve"> </v>
      </c>
      <c r="AN78" s="2" t="str">
        <f t="shared" si="19"/>
        <v xml:space="preserve"> </v>
      </c>
    </row>
    <row r="79" spans="1:40" x14ac:dyDescent="0.25">
      <c r="A79">
        <v>1872</v>
      </c>
      <c r="B79" s="6">
        <v>86.100174999999993</v>
      </c>
      <c r="C79" s="6">
        <v>0.99253633954071074</v>
      </c>
      <c r="D79" s="6"/>
      <c r="E79" s="6">
        <v>0.93876579604606791</v>
      </c>
      <c r="F79" s="6">
        <v>1.1376956757613883</v>
      </c>
      <c r="G79" s="6">
        <v>1.748</v>
      </c>
      <c r="H79" s="6">
        <v>24.939949900000002</v>
      </c>
      <c r="I79" s="6"/>
      <c r="J79" s="6"/>
      <c r="K79" s="6"/>
      <c r="L79" s="6">
        <v>102.9727</v>
      </c>
      <c r="M79" s="6">
        <v>0.49254039931775617</v>
      </c>
      <c r="N79" s="6"/>
      <c r="O79" s="6">
        <v>0.30835116818534192</v>
      </c>
      <c r="P79" s="6">
        <v>0.2316074931627671</v>
      </c>
      <c r="Q79" s="6">
        <v>1.5549999999999999</v>
      </c>
      <c r="R79" s="6">
        <v>25.167867000000005</v>
      </c>
      <c r="S79" s="4"/>
      <c r="V79" s="2">
        <f t="shared" si="21"/>
        <v>1</v>
      </c>
      <c r="W79" s="2">
        <f t="shared" si="3"/>
        <v>1</v>
      </c>
      <c r="X79" s="2" t="str">
        <f t="shared" si="4"/>
        <v xml:space="preserve"> </v>
      </c>
      <c r="Y79" s="2">
        <f t="shared" si="5"/>
        <v>1</v>
      </c>
      <c r="Z79" s="2">
        <f t="shared" si="6"/>
        <v>1</v>
      </c>
      <c r="AA79" s="2">
        <f t="shared" si="7"/>
        <v>1</v>
      </c>
      <c r="AB79" s="2">
        <f t="shared" si="8"/>
        <v>1</v>
      </c>
      <c r="AC79" s="2" t="str">
        <f t="shared" si="9"/>
        <v xml:space="preserve"> </v>
      </c>
      <c r="AD79" s="2" t="str">
        <f t="shared" si="10"/>
        <v xml:space="preserve"> </v>
      </c>
      <c r="AF79" s="2">
        <f t="shared" si="11"/>
        <v>1</v>
      </c>
      <c r="AG79" s="2">
        <f t="shared" si="12"/>
        <v>1</v>
      </c>
      <c r="AH79" s="2" t="str">
        <f t="shared" si="13"/>
        <v xml:space="preserve"> </v>
      </c>
      <c r="AI79" s="2">
        <f t="shared" si="14"/>
        <v>1</v>
      </c>
      <c r="AJ79" s="2">
        <f t="shared" si="15"/>
        <v>1</v>
      </c>
      <c r="AK79" s="2">
        <f t="shared" si="16"/>
        <v>1</v>
      </c>
      <c r="AL79" s="2">
        <f t="shared" si="17"/>
        <v>1</v>
      </c>
      <c r="AM79" s="2" t="str">
        <f t="shared" si="18"/>
        <v xml:space="preserve"> </v>
      </c>
      <c r="AN79" s="2" t="str">
        <f t="shared" si="19"/>
        <v xml:space="preserve"> </v>
      </c>
    </row>
    <row r="80" spans="1:40" x14ac:dyDescent="0.25">
      <c r="A80">
        <v>1873</v>
      </c>
      <c r="B80" s="6">
        <v>112.34632500000001</v>
      </c>
      <c r="C80" s="6">
        <v>0.81898805343530678</v>
      </c>
      <c r="D80" s="6"/>
      <c r="E80" s="6">
        <v>0.7746194686344583</v>
      </c>
      <c r="F80" s="6">
        <v>0.84197026759903826</v>
      </c>
      <c r="G80" s="6">
        <v>1.4379999999999999</v>
      </c>
      <c r="H80" s="6">
        <v>31.350724500000002</v>
      </c>
      <c r="I80" s="6"/>
      <c r="J80" s="6"/>
      <c r="K80" s="6"/>
      <c r="L80" s="6">
        <v>120.576825</v>
      </c>
      <c r="M80" s="6">
        <v>0.65574479233869687</v>
      </c>
      <c r="N80" s="6"/>
      <c r="O80" s="6">
        <v>0.41052403626011014</v>
      </c>
      <c r="P80" s="6">
        <v>0.47357819816446278</v>
      </c>
      <c r="Q80" s="6">
        <v>2.0640000000000001</v>
      </c>
      <c r="R80" s="6">
        <v>27.204573000000003</v>
      </c>
      <c r="S80" s="4"/>
      <c r="V80" s="2">
        <f t="shared" si="21"/>
        <v>1</v>
      </c>
      <c r="W80" s="2">
        <f t="shared" si="3"/>
        <v>1</v>
      </c>
      <c r="X80" s="2" t="str">
        <f t="shared" si="4"/>
        <v xml:space="preserve"> </v>
      </c>
      <c r="Y80" s="2">
        <f t="shared" si="5"/>
        <v>1</v>
      </c>
      <c r="Z80" s="2">
        <f t="shared" si="6"/>
        <v>1</v>
      </c>
      <c r="AA80" s="2">
        <f t="shared" si="7"/>
        <v>1</v>
      </c>
      <c r="AB80" s="2">
        <f t="shared" si="8"/>
        <v>1</v>
      </c>
      <c r="AC80" s="2" t="str">
        <f t="shared" si="9"/>
        <v xml:space="preserve"> </v>
      </c>
      <c r="AD80" s="2" t="str">
        <f t="shared" si="10"/>
        <v xml:space="preserve"> </v>
      </c>
      <c r="AF80" s="2">
        <f t="shared" si="11"/>
        <v>1</v>
      </c>
      <c r="AG80" s="2">
        <f t="shared" si="12"/>
        <v>1</v>
      </c>
      <c r="AH80" s="2" t="str">
        <f t="shared" si="13"/>
        <v xml:space="preserve"> </v>
      </c>
      <c r="AI80" s="2">
        <f t="shared" si="14"/>
        <v>1</v>
      </c>
      <c r="AJ80" s="2">
        <f t="shared" si="15"/>
        <v>1</v>
      </c>
      <c r="AK80" s="2">
        <f t="shared" si="16"/>
        <v>1</v>
      </c>
      <c r="AL80" s="2">
        <f t="shared" si="17"/>
        <v>1</v>
      </c>
      <c r="AM80" s="2" t="str">
        <f t="shared" si="18"/>
        <v xml:space="preserve"> </v>
      </c>
      <c r="AN80" s="2" t="str">
        <f t="shared" si="19"/>
        <v xml:space="preserve"> </v>
      </c>
    </row>
    <row r="81" spans="1:40" x14ac:dyDescent="0.25">
      <c r="A81">
        <v>1874</v>
      </c>
      <c r="B81" s="6">
        <v>112.254875</v>
      </c>
      <c r="C81" s="6">
        <v>0.75347564538008327</v>
      </c>
      <c r="D81" s="6"/>
      <c r="E81" s="6">
        <v>0.71265618784685902</v>
      </c>
      <c r="F81" s="6">
        <v>0.55533275678545579</v>
      </c>
      <c r="G81" s="6">
        <v>1.3109999999999999</v>
      </c>
      <c r="H81" s="6">
        <v>39.386014600000003</v>
      </c>
      <c r="I81" s="6"/>
      <c r="J81" s="6"/>
      <c r="K81" s="6"/>
      <c r="L81" s="6">
        <v>117.28462499999999</v>
      </c>
      <c r="M81" s="6">
        <v>0.56843621592128901</v>
      </c>
      <c r="N81" s="6"/>
      <c r="O81" s="6">
        <v>0.35586516651420191</v>
      </c>
      <c r="P81" s="6">
        <v>0.31104469267949836</v>
      </c>
      <c r="Q81" s="6">
        <v>1.7729999999999999</v>
      </c>
      <c r="R81" s="6">
        <v>25.463674300000005</v>
      </c>
      <c r="S81" s="4"/>
      <c r="V81" s="2">
        <f t="shared" si="21"/>
        <v>1</v>
      </c>
      <c r="W81" s="2">
        <f t="shared" si="3"/>
        <v>1</v>
      </c>
      <c r="X81" s="2" t="str">
        <f t="shared" si="4"/>
        <v xml:space="preserve"> </v>
      </c>
      <c r="Y81" s="2">
        <f t="shared" si="5"/>
        <v>1</v>
      </c>
      <c r="Z81" s="2">
        <f t="shared" si="6"/>
        <v>1</v>
      </c>
      <c r="AA81" s="2">
        <f t="shared" si="7"/>
        <v>1</v>
      </c>
      <c r="AB81" s="2">
        <f t="shared" si="8"/>
        <v>1</v>
      </c>
      <c r="AC81" s="2" t="str">
        <f t="shared" si="9"/>
        <v xml:space="preserve"> </v>
      </c>
      <c r="AD81" s="2" t="str">
        <f t="shared" si="10"/>
        <v xml:space="preserve"> </v>
      </c>
      <c r="AF81" s="2">
        <f t="shared" si="11"/>
        <v>1</v>
      </c>
      <c r="AG81" s="2">
        <f t="shared" si="12"/>
        <v>1</v>
      </c>
      <c r="AH81" s="2" t="str">
        <f t="shared" si="13"/>
        <v xml:space="preserve"> </v>
      </c>
      <c r="AI81" s="2">
        <f t="shared" si="14"/>
        <v>1</v>
      </c>
      <c r="AJ81" s="2">
        <f t="shared" si="15"/>
        <v>1</v>
      </c>
      <c r="AK81" s="2">
        <f t="shared" si="16"/>
        <v>1</v>
      </c>
      <c r="AL81" s="2">
        <f t="shared" si="17"/>
        <v>1</v>
      </c>
      <c r="AM81" s="2" t="str">
        <f t="shared" si="18"/>
        <v xml:space="preserve"> </v>
      </c>
      <c r="AN81" s="2" t="str">
        <f t="shared" si="19"/>
        <v xml:space="preserve"> </v>
      </c>
    </row>
    <row r="82" spans="1:40" x14ac:dyDescent="0.25">
      <c r="A82">
        <v>1875</v>
      </c>
      <c r="B82" s="6">
        <v>114.03815</v>
      </c>
      <c r="C82" s="6">
        <v>0.96693212224733127</v>
      </c>
      <c r="D82" s="6"/>
      <c r="E82" s="6">
        <v>0.91454868431726377</v>
      </c>
      <c r="F82" s="6">
        <v>0.84950849472712098</v>
      </c>
      <c r="G82" s="6">
        <v>1.6819999999999999</v>
      </c>
      <c r="H82" s="6">
        <v>38.935029700000001</v>
      </c>
      <c r="I82" s="6"/>
      <c r="J82" s="6"/>
      <c r="K82" s="6"/>
      <c r="L82" s="6">
        <v>114.22105000000001</v>
      </c>
      <c r="M82" s="6">
        <v>0.65034592581834938</v>
      </c>
      <c r="N82" s="6"/>
      <c r="O82" s="6">
        <v>0.40714411696672476</v>
      </c>
      <c r="P82" s="6">
        <v>0.37883801073927159</v>
      </c>
      <c r="Q82" s="6">
        <v>2.028</v>
      </c>
      <c r="R82" s="6">
        <v>28.266569700000002</v>
      </c>
      <c r="S82" s="4"/>
      <c r="V82" s="2">
        <f t="shared" si="21"/>
        <v>1</v>
      </c>
      <c r="W82" s="2">
        <f t="shared" si="3"/>
        <v>1</v>
      </c>
      <c r="X82" s="2" t="str">
        <f t="shared" si="4"/>
        <v xml:space="preserve"> </v>
      </c>
      <c r="Y82" s="2">
        <f t="shared" si="5"/>
        <v>1</v>
      </c>
      <c r="Z82" s="2">
        <f t="shared" si="6"/>
        <v>1</v>
      </c>
      <c r="AA82" s="2">
        <f t="shared" si="7"/>
        <v>1</v>
      </c>
      <c r="AB82" s="2">
        <f t="shared" si="8"/>
        <v>1</v>
      </c>
      <c r="AC82" s="2" t="str">
        <f t="shared" si="9"/>
        <v xml:space="preserve"> </v>
      </c>
      <c r="AD82" s="2" t="str">
        <f t="shared" si="10"/>
        <v xml:space="preserve"> </v>
      </c>
      <c r="AF82" s="2">
        <f t="shared" si="11"/>
        <v>1</v>
      </c>
      <c r="AG82" s="2">
        <f t="shared" si="12"/>
        <v>1</v>
      </c>
      <c r="AH82" s="2" t="str">
        <f t="shared" si="13"/>
        <v xml:space="preserve"> </v>
      </c>
      <c r="AI82" s="2">
        <f t="shared" si="14"/>
        <v>1</v>
      </c>
      <c r="AJ82" s="2">
        <f t="shared" si="15"/>
        <v>1</v>
      </c>
      <c r="AK82" s="2">
        <f t="shared" si="16"/>
        <v>1</v>
      </c>
      <c r="AL82" s="2">
        <f t="shared" si="17"/>
        <v>1</v>
      </c>
      <c r="AM82" s="2" t="str">
        <f t="shared" si="18"/>
        <v xml:space="preserve"> </v>
      </c>
      <c r="AN82" s="2" t="str">
        <f t="shared" si="19"/>
        <v xml:space="preserve"> </v>
      </c>
    </row>
    <row r="83" spans="1:40" x14ac:dyDescent="0.25">
      <c r="A83">
        <v>1876</v>
      </c>
      <c r="B83" s="6">
        <v>109.55710000000001</v>
      </c>
      <c r="C83" s="6">
        <v>0.77263619629472713</v>
      </c>
      <c r="D83" s="6"/>
      <c r="E83" s="6">
        <v>0.9845684901068662</v>
      </c>
      <c r="F83" s="6">
        <v>0.69711325927689316</v>
      </c>
      <c r="G83" s="6">
        <v>1.8120000000000001</v>
      </c>
      <c r="H83" s="6">
        <v>33.484416500000002</v>
      </c>
      <c r="I83" s="6"/>
      <c r="J83" s="6"/>
      <c r="K83" s="6"/>
      <c r="L83" s="6">
        <v>107.63664999999999</v>
      </c>
      <c r="M83" s="6">
        <v>0.71376890012560856</v>
      </c>
      <c r="N83" s="6"/>
      <c r="O83" s="6">
        <v>0.43756520539513588</v>
      </c>
      <c r="P83" s="6">
        <v>0.36943296280388582</v>
      </c>
      <c r="Q83" s="6">
        <v>2.181</v>
      </c>
      <c r="R83" s="6">
        <v>27.514928200000003</v>
      </c>
      <c r="S83" s="4"/>
      <c r="V83" s="2">
        <f t="shared" si="21"/>
        <v>1</v>
      </c>
      <c r="W83" s="2">
        <f t="shared" si="3"/>
        <v>1</v>
      </c>
      <c r="X83" s="2" t="str">
        <f t="shared" si="4"/>
        <v xml:space="preserve"> </v>
      </c>
      <c r="Y83" s="2">
        <f t="shared" si="5"/>
        <v>1</v>
      </c>
      <c r="Z83" s="2">
        <f t="shared" si="6"/>
        <v>1</v>
      </c>
      <c r="AA83" s="2">
        <f t="shared" si="7"/>
        <v>1</v>
      </c>
      <c r="AB83" s="2">
        <f t="shared" si="8"/>
        <v>1</v>
      </c>
      <c r="AC83" s="2" t="str">
        <f t="shared" si="9"/>
        <v xml:space="preserve"> </v>
      </c>
      <c r="AD83" s="2" t="str">
        <f t="shared" si="10"/>
        <v xml:space="preserve"> </v>
      </c>
      <c r="AF83" s="2">
        <f t="shared" si="11"/>
        <v>1</v>
      </c>
      <c r="AG83" s="2">
        <f t="shared" si="12"/>
        <v>1</v>
      </c>
      <c r="AH83" s="2" t="str">
        <f t="shared" si="13"/>
        <v xml:space="preserve"> </v>
      </c>
      <c r="AI83" s="2">
        <f t="shared" si="14"/>
        <v>1</v>
      </c>
      <c r="AJ83" s="2">
        <f t="shared" si="15"/>
        <v>1</v>
      </c>
      <c r="AK83" s="2">
        <f t="shared" si="16"/>
        <v>1</v>
      </c>
      <c r="AL83" s="2">
        <f t="shared" si="17"/>
        <v>1</v>
      </c>
      <c r="AM83" s="2" t="str">
        <f t="shared" si="18"/>
        <v xml:space="preserve"> </v>
      </c>
      <c r="AN83" s="2" t="str">
        <f t="shared" si="19"/>
        <v xml:space="preserve"> </v>
      </c>
    </row>
    <row r="84" spans="1:40" x14ac:dyDescent="0.25">
      <c r="A84">
        <v>1877</v>
      </c>
      <c r="B84" s="6">
        <v>117.9705</v>
      </c>
      <c r="C84" s="6">
        <v>1.0827305707964925</v>
      </c>
      <c r="D84" s="6"/>
      <c r="E84" s="6">
        <v>1.3905561238597515</v>
      </c>
      <c r="F84" s="6">
        <v>1.1668298382522089</v>
      </c>
      <c r="G84" s="6">
        <v>2.5539999999999998</v>
      </c>
      <c r="H84" s="6">
        <v>33.814168899999999</v>
      </c>
      <c r="I84" s="6"/>
      <c r="J84" s="6"/>
      <c r="K84" s="6"/>
      <c r="L84" s="6">
        <v>105.670475</v>
      </c>
      <c r="M84" s="6">
        <v>0.97203486805688721</v>
      </c>
      <c r="N84" s="6"/>
      <c r="O84" s="6">
        <v>0.51826265723377296</v>
      </c>
      <c r="P84" s="6">
        <v>0.38621912658311514</v>
      </c>
      <c r="Q84" s="6">
        <v>2.5779999999999994</v>
      </c>
      <c r="R84" s="6">
        <v>30.681521100000001</v>
      </c>
      <c r="S84" s="4"/>
      <c r="V84" s="2">
        <f t="shared" si="21"/>
        <v>1</v>
      </c>
      <c r="W84" s="2">
        <f t="shared" si="3"/>
        <v>1</v>
      </c>
      <c r="X84" s="2" t="str">
        <f t="shared" si="4"/>
        <v xml:space="preserve"> </v>
      </c>
      <c r="Y84" s="2">
        <f t="shared" si="5"/>
        <v>1</v>
      </c>
      <c r="Z84" s="2">
        <f t="shared" si="6"/>
        <v>1</v>
      </c>
      <c r="AA84" s="2">
        <f t="shared" si="7"/>
        <v>1</v>
      </c>
      <c r="AB84" s="2">
        <f t="shared" si="8"/>
        <v>1</v>
      </c>
      <c r="AC84" s="2" t="str">
        <f t="shared" si="9"/>
        <v xml:space="preserve"> </v>
      </c>
      <c r="AD84" s="2" t="str">
        <f t="shared" si="10"/>
        <v xml:space="preserve"> </v>
      </c>
      <c r="AF84" s="2">
        <f t="shared" si="11"/>
        <v>1</v>
      </c>
      <c r="AG84" s="2">
        <f t="shared" si="12"/>
        <v>1</v>
      </c>
      <c r="AH84" s="2" t="str">
        <f t="shared" si="13"/>
        <v xml:space="preserve"> </v>
      </c>
      <c r="AI84" s="2">
        <f t="shared" si="14"/>
        <v>1</v>
      </c>
      <c r="AJ84" s="2">
        <f t="shared" si="15"/>
        <v>1</v>
      </c>
      <c r="AK84" s="2">
        <f t="shared" si="16"/>
        <v>1</v>
      </c>
      <c r="AL84" s="2">
        <f t="shared" si="17"/>
        <v>1</v>
      </c>
      <c r="AM84" s="2" t="str">
        <f t="shared" si="18"/>
        <v xml:space="preserve"> </v>
      </c>
      <c r="AN84" s="2" t="str">
        <f t="shared" si="19"/>
        <v xml:space="preserve"> </v>
      </c>
    </row>
    <row r="85" spans="1:40" x14ac:dyDescent="0.25">
      <c r="A85">
        <v>1878</v>
      </c>
      <c r="B85" s="6">
        <v>119.70805</v>
      </c>
      <c r="C85" s="6">
        <v>1.1133080765292289</v>
      </c>
      <c r="D85" s="6"/>
      <c r="E85" s="6">
        <v>1.657179367730482</v>
      </c>
      <c r="F85" s="6">
        <v>1.3589601632633634</v>
      </c>
      <c r="G85" s="6">
        <v>3.0459999999999998</v>
      </c>
      <c r="H85" s="6">
        <v>42.460470800000003</v>
      </c>
      <c r="I85" s="6"/>
      <c r="J85" s="6"/>
      <c r="K85" s="6"/>
      <c r="L85" s="6">
        <v>108.68832499999999</v>
      </c>
      <c r="M85" s="6">
        <v>1.3305854388958476</v>
      </c>
      <c r="N85" s="6"/>
      <c r="O85" s="6">
        <v>0.69545023380712545</v>
      </c>
      <c r="P85" s="6">
        <v>0.65501203471022706</v>
      </c>
      <c r="Q85" s="6">
        <v>3.4620000000000002</v>
      </c>
      <c r="R85" s="6">
        <v>29.168539500000001</v>
      </c>
      <c r="S85" s="4"/>
      <c r="V85" s="2">
        <f t="shared" si="21"/>
        <v>1</v>
      </c>
      <c r="W85" s="2">
        <f t="shared" si="3"/>
        <v>1</v>
      </c>
      <c r="X85" s="2" t="str">
        <f t="shared" si="4"/>
        <v xml:space="preserve"> </v>
      </c>
      <c r="Y85" s="2">
        <f t="shared" si="5"/>
        <v>1</v>
      </c>
      <c r="Z85" s="2">
        <f t="shared" si="6"/>
        <v>1</v>
      </c>
      <c r="AA85" s="2">
        <f t="shared" si="7"/>
        <v>1</v>
      </c>
      <c r="AB85" s="2">
        <f t="shared" si="8"/>
        <v>1</v>
      </c>
      <c r="AC85" s="2" t="str">
        <f t="shared" si="9"/>
        <v xml:space="preserve"> </v>
      </c>
      <c r="AD85" s="2" t="str">
        <f t="shared" si="10"/>
        <v xml:space="preserve"> </v>
      </c>
      <c r="AF85" s="2">
        <f t="shared" si="11"/>
        <v>1</v>
      </c>
      <c r="AG85" s="2">
        <f t="shared" si="12"/>
        <v>1</v>
      </c>
      <c r="AH85" s="2" t="str">
        <f t="shared" si="13"/>
        <v xml:space="preserve"> </v>
      </c>
      <c r="AI85" s="2">
        <f t="shared" si="14"/>
        <v>1</v>
      </c>
      <c r="AJ85" s="2">
        <f t="shared" si="15"/>
        <v>1</v>
      </c>
      <c r="AK85" s="2">
        <f t="shared" si="16"/>
        <v>1</v>
      </c>
      <c r="AL85" s="2">
        <f t="shared" si="17"/>
        <v>1</v>
      </c>
      <c r="AM85" s="2" t="str">
        <f t="shared" si="18"/>
        <v xml:space="preserve"> </v>
      </c>
      <c r="AN85" s="2" t="str">
        <f t="shared" si="19"/>
        <v xml:space="preserve"> </v>
      </c>
    </row>
    <row r="86" spans="1:40" x14ac:dyDescent="0.25">
      <c r="A86">
        <v>1879</v>
      </c>
      <c r="B86" s="6">
        <v>116.5463</v>
      </c>
      <c r="C86" s="6">
        <v>1.1599906966939046</v>
      </c>
      <c r="D86" s="6"/>
      <c r="E86" s="6">
        <v>2.0225920263436437</v>
      </c>
      <c r="F86" s="6">
        <v>2.0573165314126061</v>
      </c>
      <c r="G86" s="6">
        <v>3.7429999999999999</v>
      </c>
      <c r="H86" s="6">
        <v>40.648062500000002</v>
      </c>
      <c r="I86" s="6"/>
      <c r="J86" s="6"/>
      <c r="K86" s="6"/>
      <c r="L86" s="6">
        <v>101.8758</v>
      </c>
      <c r="M86" s="6">
        <v>1.1670184664225456</v>
      </c>
      <c r="N86" s="6"/>
      <c r="O86" s="6">
        <v>0.73902446722680126</v>
      </c>
      <c r="P86" s="6">
        <v>0.56035083621153103</v>
      </c>
      <c r="Q86" s="6">
        <v>3.7040000000000002</v>
      </c>
      <c r="R86" s="6">
        <v>27.873650500000004</v>
      </c>
      <c r="S86" s="4"/>
      <c r="V86" s="2">
        <f t="shared" si="21"/>
        <v>1</v>
      </c>
      <c r="W86" s="2">
        <f t="shared" si="3"/>
        <v>1</v>
      </c>
      <c r="X86" s="2" t="str">
        <f t="shared" si="4"/>
        <v xml:space="preserve"> </v>
      </c>
      <c r="Y86" s="2">
        <f t="shared" si="5"/>
        <v>1</v>
      </c>
      <c r="Z86" s="2">
        <f t="shared" si="6"/>
        <v>1</v>
      </c>
      <c r="AA86" s="2">
        <f t="shared" si="7"/>
        <v>1</v>
      </c>
      <c r="AB86" s="2">
        <f t="shared" si="8"/>
        <v>1</v>
      </c>
      <c r="AC86" s="2" t="str">
        <f t="shared" si="9"/>
        <v xml:space="preserve"> </v>
      </c>
      <c r="AD86" s="2" t="str">
        <f t="shared" si="10"/>
        <v xml:space="preserve"> </v>
      </c>
      <c r="AF86" s="2">
        <f t="shared" si="11"/>
        <v>1</v>
      </c>
      <c r="AG86" s="2">
        <f t="shared" si="12"/>
        <v>1</v>
      </c>
      <c r="AH86" s="2" t="str">
        <f t="shared" si="13"/>
        <v xml:space="preserve"> </v>
      </c>
      <c r="AI86" s="2">
        <f t="shared" si="14"/>
        <v>1</v>
      </c>
      <c r="AJ86" s="2">
        <f t="shared" si="15"/>
        <v>1</v>
      </c>
      <c r="AK86" s="2">
        <f t="shared" si="16"/>
        <v>1</v>
      </c>
      <c r="AL86" s="2">
        <f t="shared" si="17"/>
        <v>1</v>
      </c>
      <c r="AM86" s="2" t="str">
        <f t="shared" si="18"/>
        <v xml:space="preserve"> </v>
      </c>
      <c r="AN86" s="2" t="str">
        <f t="shared" si="19"/>
        <v xml:space="preserve"> </v>
      </c>
    </row>
    <row r="87" spans="1:40" x14ac:dyDescent="0.25">
      <c r="A87">
        <v>1880</v>
      </c>
      <c r="B87" s="6">
        <v>109.866542</v>
      </c>
      <c r="C87" s="6">
        <v>1.9360534011929851</v>
      </c>
      <c r="D87" s="6"/>
      <c r="E87" s="6">
        <v>1.984766367288326</v>
      </c>
      <c r="F87" s="6">
        <v>1.5997773048411561</v>
      </c>
      <c r="G87" s="6">
        <v>3.673</v>
      </c>
      <c r="H87" s="6">
        <v>29.851808999999999</v>
      </c>
      <c r="I87" s="6"/>
      <c r="J87" s="6"/>
      <c r="K87" s="6"/>
      <c r="L87" s="6">
        <v>130.556318</v>
      </c>
      <c r="M87" s="6">
        <v>1.5819648052434163</v>
      </c>
      <c r="N87" s="6"/>
      <c r="O87" s="6">
        <v>0.97286266258042231</v>
      </c>
      <c r="P87" s="6">
        <v>0.70274595194154243</v>
      </c>
      <c r="Q87" s="6">
        <v>4.8760000000000003</v>
      </c>
      <c r="R87" s="6">
        <v>30.772264</v>
      </c>
      <c r="S87" s="4"/>
      <c r="V87" s="2">
        <f t="shared" si="21"/>
        <v>1</v>
      </c>
      <c r="W87" s="2">
        <f t="shared" si="3"/>
        <v>1</v>
      </c>
      <c r="X87" s="2" t="str">
        <f t="shared" si="4"/>
        <v xml:space="preserve"> </v>
      </c>
      <c r="Y87" s="2">
        <f t="shared" si="5"/>
        <v>1</v>
      </c>
      <c r="Z87" s="2">
        <f t="shared" si="6"/>
        <v>1</v>
      </c>
      <c r="AA87" s="2">
        <f t="shared" si="7"/>
        <v>1</v>
      </c>
      <c r="AB87" s="2">
        <f t="shared" si="8"/>
        <v>1</v>
      </c>
      <c r="AC87" s="2" t="str">
        <f t="shared" si="9"/>
        <v xml:space="preserve"> </v>
      </c>
      <c r="AD87" s="2" t="str">
        <f t="shared" si="10"/>
        <v xml:space="preserve"> </v>
      </c>
      <c r="AF87" s="2">
        <f t="shared" si="11"/>
        <v>1</v>
      </c>
      <c r="AG87" s="2">
        <f t="shared" si="12"/>
        <v>1</v>
      </c>
      <c r="AH87" s="2" t="str">
        <f t="shared" si="13"/>
        <v xml:space="preserve"> </v>
      </c>
      <c r="AI87" s="2">
        <f t="shared" si="14"/>
        <v>1</v>
      </c>
      <c r="AJ87" s="2">
        <f t="shared" si="15"/>
        <v>1</v>
      </c>
      <c r="AK87" s="2">
        <f t="shared" si="16"/>
        <v>1</v>
      </c>
      <c r="AL87" s="2">
        <f t="shared" si="17"/>
        <v>1</v>
      </c>
      <c r="AM87" s="2" t="str">
        <f t="shared" si="18"/>
        <v xml:space="preserve"> </v>
      </c>
      <c r="AN87" s="2" t="str">
        <f t="shared" si="19"/>
        <v xml:space="preserve"> </v>
      </c>
    </row>
    <row r="88" spans="1:40" x14ac:dyDescent="0.25">
      <c r="A88">
        <v>1881</v>
      </c>
      <c r="B88" s="6">
        <v>139.96042200000002</v>
      </c>
      <c r="C88" s="6">
        <v>2.6056662376504458</v>
      </c>
      <c r="D88" s="6"/>
      <c r="E88" s="6">
        <v>2.454779358663036</v>
      </c>
      <c r="F88" s="6">
        <v>2.2342736458168293</v>
      </c>
      <c r="G88" s="6">
        <v>4.548</v>
      </c>
      <c r="H88" s="6">
        <v>36.013581500000001</v>
      </c>
      <c r="I88" s="6"/>
      <c r="J88" s="6"/>
      <c r="K88" s="6"/>
      <c r="L88" s="6">
        <v>132.54593800000001</v>
      </c>
      <c r="M88" s="6">
        <v>1.1965365419001597</v>
      </c>
      <c r="N88" s="6"/>
      <c r="O88" s="6">
        <v>1.3426348925107745</v>
      </c>
      <c r="P88" s="6">
        <v>1.0957261477395659</v>
      </c>
      <c r="Q88" s="6">
        <v>6.7370000000000001</v>
      </c>
      <c r="R88" s="6">
        <v>29.271599500000001</v>
      </c>
      <c r="S88" s="4"/>
      <c r="V88" s="2">
        <f t="shared" si="21"/>
        <v>1</v>
      </c>
      <c r="W88" s="2">
        <f t="shared" si="3"/>
        <v>1</v>
      </c>
      <c r="X88" s="2" t="str">
        <f t="shared" si="4"/>
        <v xml:space="preserve"> </v>
      </c>
      <c r="Y88" s="2">
        <f t="shared" si="5"/>
        <v>1</v>
      </c>
      <c r="Z88" s="2">
        <f t="shared" si="6"/>
        <v>1</v>
      </c>
      <c r="AA88" s="2">
        <f t="shared" si="7"/>
        <v>1</v>
      </c>
      <c r="AB88" s="2">
        <f t="shared" si="8"/>
        <v>1</v>
      </c>
      <c r="AC88" s="2" t="str">
        <f t="shared" si="9"/>
        <v xml:space="preserve"> </v>
      </c>
      <c r="AD88" s="2" t="str">
        <f t="shared" si="10"/>
        <v xml:space="preserve"> </v>
      </c>
      <c r="AF88" s="2">
        <f t="shared" si="11"/>
        <v>1</v>
      </c>
      <c r="AG88" s="2">
        <f t="shared" si="12"/>
        <v>1</v>
      </c>
      <c r="AH88" s="2" t="str">
        <f t="shared" si="13"/>
        <v xml:space="preserve"> </v>
      </c>
      <c r="AI88" s="2">
        <f t="shared" si="14"/>
        <v>1</v>
      </c>
      <c r="AJ88" s="2">
        <f t="shared" si="15"/>
        <v>1</v>
      </c>
      <c r="AK88" s="2">
        <f t="shared" si="16"/>
        <v>1</v>
      </c>
      <c r="AL88" s="2">
        <f t="shared" si="17"/>
        <v>1</v>
      </c>
      <c r="AM88" s="2" t="str">
        <f t="shared" si="18"/>
        <v xml:space="preserve"> </v>
      </c>
      <c r="AN88" s="2" t="str">
        <f t="shared" si="19"/>
        <v xml:space="preserve"> </v>
      </c>
    </row>
    <row r="89" spans="1:40" x14ac:dyDescent="0.25">
      <c r="A89">
        <v>1882</v>
      </c>
      <c r="B89" s="6">
        <v>175.24384000000001</v>
      </c>
      <c r="C89" s="6">
        <v>2.6482624522460929</v>
      </c>
      <c r="D89" s="6"/>
      <c r="E89" s="6">
        <v>2.7195529417952709</v>
      </c>
      <c r="F89" s="6">
        <v>2.399619862283469</v>
      </c>
      <c r="G89" s="6">
        <v>4.9749999999999988</v>
      </c>
      <c r="H89" s="6">
        <v>41.924108199999999</v>
      </c>
      <c r="I89" s="6"/>
      <c r="J89" s="6"/>
      <c r="K89" s="6"/>
      <c r="L89" s="6">
        <v>132.57366400000001</v>
      </c>
      <c r="M89" s="6">
        <v>1.319942923643979</v>
      </c>
      <c r="N89" s="6"/>
      <c r="O89" s="6">
        <v>1.6589098597427567</v>
      </c>
      <c r="P89" s="6">
        <v>1.6953378903170286</v>
      </c>
      <c r="Q89" s="6">
        <v>8.2189999999999994</v>
      </c>
      <c r="R89" s="6">
        <v>32.423128400000003</v>
      </c>
      <c r="S89" s="4"/>
      <c r="V89" s="2">
        <f t="shared" si="21"/>
        <v>1</v>
      </c>
      <c r="W89" s="2">
        <f t="shared" si="3"/>
        <v>1</v>
      </c>
      <c r="X89" s="2" t="str">
        <f t="shared" si="4"/>
        <v xml:space="preserve"> </v>
      </c>
      <c r="Y89" s="2">
        <f t="shared" si="5"/>
        <v>1</v>
      </c>
      <c r="Z89" s="2">
        <f t="shared" si="6"/>
        <v>1</v>
      </c>
      <c r="AA89" s="2">
        <f t="shared" si="7"/>
        <v>1</v>
      </c>
      <c r="AB89" s="2">
        <f t="shared" si="8"/>
        <v>1</v>
      </c>
      <c r="AC89" s="2" t="str">
        <f t="shared" si="9"/>
        <v xml:space="preserve"> </v>
      </c>
      <c r="AD89" s="2" t="str">
        <f t="shared" si="10"/>
        <v xml:space="preserve"> </v>
      </c>
      <c r="AF89" s="2">
        <f t="shared" si="11"/>
        <v>1</v>
      </c>
      <c r="AG89" s="2">
        <f t="shared" si="12"/>
        <v>1</v>
      </c>
      <c r="AH89" s="2" t="str">
        <f t="shared" si="13"/>
        <v xml:space="preserve"> </v>
      </c>
      <c r="AI89" s="2">
        <f t="shared" si="14"/>
        <v>1</v>
      </c>
      <c r="AJ89" s="2">
        <f t="shared" si="15"/>
        <v>1</v>
      </c>
      <c r="AK89" s="2">
        <f t="shared" si="16"/>
        <v>1</v>
      </c>
      <c r="AL89" s="2">
        <f t="shared" si="17"/>
        <v>1</v>
      </c>
      <c r="AM89" s="2" t="str">
        <f t="shared" si="18"/>
        <v xml:space="preserve"> </v>
      </c>
      <c r="AN89" s="2" t="str">
        <f t="shared" si="19"/>
        <v xml:space="preserve"> </v>
      </c>
    </row>
    <row r="90" spans="1:40" x14ac:dyDescent="0.25">
      <c r="A90">
        <v>1883</v>
      </c>
      <c r="B90" s="6">
        <v>172.08848</v>
      </c>
      <c r="C90" s="6">
        <v>3.9251363067779828</v>
      </c>
      <c r="D90" s="6"/>
      <c r="E90" s="6">
        <v>3.0689770876474123</v>
      </c>
      <c r="F90" s="6">
        <v>3.7201319931709809</v>
      </c>
      <c r="G90" s="6">
        <v>5.6239999999999997</v>
      </c>
      <c r="H90" s="6">
        <v>38.665925999999999</v>
      </c>
      <c r="I90" s="6"/>
      <c r="J90" s="6"/>
      <c r="K90" s="6"/>
      <c r="L90" s="6">
        <v>145.92326399999999</v>
      </c>
      <c r="M90" s="6">
        <v>2.4283018598797215</v>
      </c>
      <c r="N90" s="6"/>
      <c r="O90" s="6">
        <v>1.6163312404661214</v>
      </c>
      <c r="P90" s="6">
        <v>1.6012026753786928</v>
      </c>
      <c r="Q90" s="6">
        <v>8.0220000000000002</v>
      </c>
      <c r="R90" s="6">
        <v>34.408504000000001</v>
      </c>
      <c r="S90" s="4"/>
      <c r="V90" s="2">
        <f t="shared" si="21"/>
        <v>1</v>
      </c>
      <c r="W90" s="2">
        <f t="shared" si="3"/>
        <v>1</v>
      </c>
      <c r="X90" s="2" t="str">
        <f t="shared" si="4"/>
        <v xml:space="preserve"> </v>
      </c>
      <c r="Y90" s="2">
        <f t="shared" si="5"/>
        <v>1</v>
      </c>
      <c r="Z90" s="2">
        <f t="shared" si="6"/>
        <v>1</v>
      </c>
      <c r="AA90" s="2">
        <f t="shared" si="7"/>
        <v>1</v>
      </c>
      <c r="AB90" s="2">
        <f t="shared" si="8"/>
        <v>1</v>
      </c>
      <c r="AC90" s="2" t="str">
        <f t="shared" si="9"/>
        <v xml:space="preserve"> </v>
      </c>
      <c r="AD90" s="2" t="str">
        <f t="shared" si="10"/>
        <v xml:space="preserve"> </v>
      </c>
      <c r="AF90" s="2">
        <f t="shared" si="11"/>
        <v>1</v>
      </c>
      <c r="AG90" s="2">
        <f t="shared" si="12"/>
        <v>1</v>
      </c>
      <c r="AH90" s="2" t="str">
        <f t="shared" si="13"/>
        <v xml:space="preserve"> </v>
      </c>
      <c r="AI90" s="2">
        <f t="shared" si="14"/>
        <v>1</v>
      </c>
      <c r="AJ90" s="2">
        <f t="shared" si="15"/>
        <v>1</v>
      </c>
      <c r="AK90" s="2">
        <f t="shared" si="16"/>
        <v>1</v>
      </c>
      <c r="AL90" s="2">
        <f t="shared" si="17"/>
        <v>1</v>
      </c>
      <c r="AM90" s="2" t="str">
        <f t="shared" si="18"/>
        <v xml:space="preserve"> </v>
      </c>
      <c r="AN90" s="2" t="str">
        <f t="shared" si="19"/>
        <v xml:space="preserve"> </v>
      </c>
    </row>
    <row r="91" spans="1:40" x14ac:dyDescent="0.25">
      <c r="A91">
        <v>1884</v>
      </c>
      <c r="B91" s="6">
        <v>179.12777400000002</v>
      </c>
      <c r="C91" s="6">
        <v>3.62359923477177</v>
      </c>
      <c r="D91" s="6"/>
      <c r="E91" s="6">
        <v>2.5343035745389093</v>
      </c>
      <c r="F91" s="6">
        <v>2.6322829671773098</v>
      </c>
      <c r="G91" s="6">
        <v>4.6379999999999999</v>
      </c>
      <c r="H91" s="6">
        <v>37.194669399999995</v>
      </c>
      <c r="I91" s="6"/>
      <c r="J91" s="6"/>
      <c r="K91" s="6"/>
      <c r="L91" s="6">
        <v>139.031046</v>
      </c>
      <c r="M91" s="6">
        <v>2.1775931513263727</v>
      </c>
      <c r="N91" s="6"/>
      <c r="O91" s="6">
        <v>1.633217859147297</v>
      </c>
      <c r="P91" s="6">
        <v>1.74422557975217</v>
      </c>
      <c r="Q91" s="6">
        <v>8.0950000000000006</v>
      </c>
      <c r="R91" s="6">
        <v>34.423149599999995</v>
      </c>
      <c r="S91" s="4"/>
      <c r="V91" s="2">
        <f t="shared" si="21"/>
        <v>1</v>
      </c>
      <c r="W91" s="2">
        <f t="shared" si="3"/>
        <v>1</v>
      </c>
      <c r="X91" s="2" t="str">
        <f t="shared" si="4"/>
        <v xml:space="preserve"> </v>
      </c>
      <c r="Y91" s="2">
        <f t="shared" si="5"/>
        <v>1</v>
      </c>
      <c r="Z91" s="2">
        <f t="shared" si="6"/>
        <v>1</v>
      </c>
      <c r="AA91" s="2">
        <f t="shared" si="7"/>
        <v>1</v>
      </c>
      <c r="AB91" s="2">
        <f t="shared" si="8"/>
        <v>1</v>
      </c>
      <c r="AC91" s="2" t="str">
        <f t="shared" si="9"/>
        <v xml:space="preserve"> </v>
      </c>
      <c r="AD91" s="2" t="str">
        <f t="shared" si="10"/>
        <v xml:space="preserve"> </v>
      </c>
      <c r="AF91" s="2">
        <f t="shared" si="11"/>
        <v>1</v>
      </c>
      <c r="AG91" s="2">
        <f t="shared" si="12"/>
        <v>1</v>
      </c>
      <c r="AH91" s="2" t="str">
        <f t="shared" si="13"/>
        <v xml:space="preserve"> </v>
      </c>
      <c r="AI91" s="2">
        <f t="shared" si="14"/>
        <v>1</v>
      </c>
      <c r="AJ91" s="2">
        <f t="shared" si="15"/>
        <v>1</v>
      </c>
      <c r="AK91" s="2">
        <f t="shared" si="16"/>
        <v>1</v>
      </c>
      <c r="AL91" s="2">
        <f t="shared" si="17"/>
        <v>1</v>
      </c>
      <c r="AM91" s="2" t="str">
        <f t="shared" si="18"/>
        <v xml:space="preserve"> </v>
      </c>
      <c r="AN91" s="2" t="str">
        <f t="shared" si="19"/>
        <v xml:space="preserve"> </v>
      </c>
    </row>
    <row r="92" spans="1:40" x14ac:dyDescent="0.25">
      <c r="A92">
        <v>1885</v>
      </c>
      <c r="B92" s="6">
        <v>179.45291</v>
      </c>
      <c r="C92" s="6">
        <v>2.4566883905810073</v>
      </c>
      <c r="D92" s="6"/>
      <c r="E92" s="6">
        <v>2.4410771161084845</v>
      </c>
      <c r="F92" s="6">
        <v>2.577633725264902</v>
      </c>
      <c r="G92" s="6">
        <v>3.831</v>
      </c>
      <c r="H92" s="6">
        <v>36.318024000000001</v>
      </c>
      <c r="I92" s="6"/>
      <c r="J92" s="6"/>
      <c r="K92" s="6"/>
      <c r="L92" s="6">
        <v>129.84289500000003</v>
      </c>
      <c r="M92" s="6">
        <v>2.2573794482773648</v>
      </c>
      <c r="N92" s="6"/>
      <c r="O92" s="6">
        <v>1.5299681497924915</v>
      </c>
      <c r="P92" s="6">
        <v>1.7192542913738258</v>
      </c>
      <c r="Q92" s="6">
        <v>9.0690000000000008</v>
      </c>
      <c r="R92" s="6">
        <v>33.360720000000001</v>
      </c>
      <c r="S92" s="4"/>
      <c r="V92" s="2">
        <f t="shared" si="21"/>
        <v>1</v>
      </c>
      <c r="W92" s="2">
        <f t="shared" si="3"/>
        <v>1</v>
      </c>
      <c r="X92" s="2" t="str">
        <f t="shared" si="4"/>
        <v xml:space="preserve"> </v>
      </c>
      <c r="Y92" s="2">
        <f t="shared" si="5"/>
        <v>1</v>
      </c>
      <c r="Z92" s="2">
        <f t="shared" si="6"/>
        <v>1</v>
      </c>
      <c r="AA92" s="2">
        <f t="shared" si="7"/>
        <v>1</v>
      </c>
      <c r="AB92" s="2">
        <f t="shared" si="8"/>
        <v>1</v>
      </c>
      <c r="AC92" s="2" t="str">
        <f t="shared" si="9"/>
        <v xml:space="preserve"> </v>
      </c>
      <c r="AD92" s="2" t="str">
        <f t="shared" si="10"/>
        <v xml:space="preserve"> </v>
      </c>
      <c r="AF92" s="2">
        <f t="shared" si="11"/>
        <v>1</v>
      </c>
      <c r="AG92" s="2">
        <f t="shared" si="12"/>
        <v>1</v>
      </c>
      <c r="AH92" s="2" t="str">
        <f t="shared" si="13"/>
        <v xml:space="preserve"> </v>
      </c>
      <c r="AI92" s="2">
        <f t="shared" si="14"/>
        <v>1</v>
      </c>
      <c r="AJ92" s="2">
        <f t="shared" si="15"/>
        <v>1</v>
      </c>
      <c r="AK92" s="2">
        <f t="shared" si="16"/>
        <v>1</v>
      </c>
      <c r="AL92" s="2">
        <f t="shared" si="17"/>
        <v>1</v>
      </c>
      <c r="AM92" s="2" t="str">
        <f t="shared" si="18"/>
        <v xml:space="preserve"> </v>
      </c>
      <c r="AN92" s="2" t="str">
        <f t="shared" si="19"/>
        <v xml:space="preserve"> </v>
      </c>
    </row>
    <row r="93" spans="1:40" x14ac:dyDescent="0.25">
      <c r="A93">
        <v>1886</v>
      </c>
      <c r="B93" s="6">
        <v>165.20219400000002</v>
      </c>
      <c r="C93" s="6">
        <v>1.8842284791075621</v>
      </c>
      <c r="D93" s="6"/>
      <c r="E93" s="6">
        <v>2.3143256681168429</v>
      </c>
      <c r="F93" s="6">
        <v>2.2815938514066287</v>
      </c>
      <c r="G93" s="6">
        <v>4.878000000000001</v>
      </c>
      <c r="H93" s="6">
        <v>32.858202599999998</v>
      </c>
      <c r="I93" s="6"/>
      <c r="J93" s="6"/>
      <c r="K93" s="6"/>
      <c r="L93" s="6">
        <v>104.88261</v>
      </c>
      <c r="M93" s="6">
        <v>1.9607335708725024</v>
      </c>
      <c r="N93" s="6"/>
      <c r="O93" s="6">
        <v>1.3630360472343073</v>
      </c>
      <c r="P93" s="6">
        <v>1.2536750720047314</v>
      </c>
      <c r="Q93" s="6">
        <v>10.457000000000001</v>
      </c>
      <c r="R93" s="6">
        <v>32.440122199999998</v>
      </c>
      <c r="S93" s="4"/>
      <c r="V93" s="2">
        <f t="shared" si="21"/>
        <v>1</v>
      </c>
      <c r="W93" s="2">
        <f t="shared" si="3"/>
        <v>1</v>
      </c>
      <c r="X93" s="2" t="str">
        <f t="shared" si="4"/>
        <v xml:space="preserve"> </v>
      </c>
      <c r="Y93" s="2">
        <f t="shared" si="5"/>
        <v>1</v>
      </c>
      <c r="Z93" s="2">
        <f t="shared" si="6"/>
        <v>1</v>
      </c>
      <c r="AA93" s="2">
        <f t="shared" si="7"/>
        <v>1</v>
      </c>
      <c r="AB93" s="2">
        <f t="shared" si="8"/>
        <v>1</v>
      </c>
      <c r="AC93" s="2" t="str">
        <f t="shared" si="9"/>
        <v xml:space="preserve"> </v>
      </c>
      <c r="AD93" s="2" t="str">
        <f t="shared" si="10"/>
        <v xml:space="preserve"> </v>
      </c>
      <c r="AF93" s="2">
        <f t="shared" si="11"/>
        <v>1</v>
      </c>
      <c r="AG93" s="2">
        <f t="shared" si="12"/>
        <v>1</v>
      </c>
      <c r="AH93" s="2" t="str">
        <f t="shared" si="13"/>
        <v xml:space="preserve"> </v>
      </c>
      <c r="AI93" s="2">
        <f t="shared" si="14"/>
        <v>1</v>
      </c>
      <c r="AJ93" s="2">
        <f t="shared" si="15"/>
        <v>1</v>
      </c>
      <c r="AK93" s="2">
        <f t="shared" si="16"/>
        <v>1</v>
      </c>
      <c r="AL93" s="2">
        <f t="shared" si="17"/>
        <v>1</v>
      </c>
      <c r="AM93" s="2" t="str">
        <f t="shared" si="18"/>
        <v xml:space="preserve"> </v>
      </c>
      <c r="AN93" s="2" t="str">
        <f t="shared" si="19"/>
        <v xml:space="preserve"> </v>
      </c>
    </row>
    <row r="94" spans="1:40" x14ac:dyDescent="0.25">
      <c r="A94">
        <v>1887</v>
      </c>
      <c r="B94" s="6">
        <v>143.89353400000002</v>
      </c>
      <c r="C94" s="6">
        <v>1.5629801381230957</v>
      </c>
      <c r="D94" s="6"/>
      <c r="E94" s="6">
        <v>2.3428913014134478</v>
      </c>
      <c r="F94" s="6">
        <v>2.3276455442242896</v>
      </c>
      <c r="G94" s="6">
        <v>4.944</v>
      </c>
      <c r="H94" s="6">
        <v>30.299491</v>
      </c>
      <c r="I94" s="6"/>
      <c r="J94" s="6"/>
      <c r="K94" s="6"/>
      <c r="L94" s="6">
        <v>113.96640400000001</v>
      </c>
      <c r="M94" s="6">
        <v>1.5950545545155483</v>
      </c>
      <c r="N94" s="6"/>
      <c r="O94" s="6">
        <v>1.4790103935671723</v>
      </c>
      <c r="P94" s="6">
        <v>1.6102315423209139</v>
      </c>
      <c r="Q94" s="6">
        <v>9.5289999999999999</v>
      </c>
      <c r="R94" s="6">
        <v>33.312458800000002</v>
      </c>
      <c r="S94" s="4"/>
      <c r="V94" s="2">
        <f t="shared" si="21"/>
        <v>1</v>
      </c>
      <c r="W94" s="2">
        <f t="shared" si="3"/>
        <v>1</v>
      </c>
      <c r="X94" s="2" t="str">
        <f t="shared" si="4"/>
        <v xml:space="preserve"> </v>
      </c>
      <c r="Y94" s="2">
        <f t="shared" si="5"/>
        <v>1</v>
      </c>
      <c r="Z94" s="2">
        <f t="shared" si="6"/>
        <v>1</v>
      </c>
      <c r="AA94" s="2">
        <f t="shared" si="7"/>
        <v>1</v>
      </c>
      <c r="AB94" s="2">
        <f t="shared" si="8"/>
        <v>1</v>
      </c>
      <c r="AC94" s="2" t="str">
        <f t="shared" si="9"/>
        <v xml:space="preserve"> </v>
      </c>
      <c r="AD94" s="2" t="str">
        <f t="shared" si="10"/>
        <v xml:space="preserve"> </v>
      </c>
      <c r="AF94" s="2">
        <f t="shared" si="11"/>
        <v>1</v>
      </c>
      <c r="AG94" s="2">
        <f t="shared" si="12"/>
        <v>1</v>
      </c>
      <c r="AH94" s="2" t="str">
        <f t="shared" si="13"/>
        <v xml:space="preserve"> </v>
      </c>
      <c r="AI94" s="2">
        <f t="shared" si="14"/>
        <v>1</v>
      </c>
      <c r="AJ94" s="2">
        <f t="shared" si="15"/>
        <v>1</v>
      </c>
      <c r="AK94" s="2">
        <f t="shared" si="16"/>
        <v>1</v>
      </c>
      <c r="AL94" s="2">
        <f t="shared" si="17"/>
        <v>1</v>
      </c>
      <c r="AM94" s="2" t="str">
        <f t="shared" si="18"/>
        <v xml:space="preserve"> </v>
      </c>
      <c r="AN94" s="2" t="str">
        <f t="shared" si="19"/>
        <v xml:space="preserve"> </v>
      </c>
    </row>
    <row r="95" spans="1:40" x14ac:dyDescent="0.25">
      <c r="A95">
        <v>1888</v>
      </c>
      <c r="B95" s="6">
        <v>180.16617600000001</v>
      </c>
      <c r="C95" s="6">
        <v>1.5184386844097795</v>
      </c>
      <c r="D95" s="6"/>
      <c r="E95" s="6">
        <v>2.3672289156626505</v>
      </c>
      <c r="F95" s="6">
        <v>2.2712935199531095</v>
      </c>
      <c r="G95" s="6">
        <v>4.5410000000000004</v>
      </c>
      <c r="H95" s="6">
        <v>28.939322600000001</v>
      </c>
      <c r="I95" s="6"/>
      <c r="J95" s="6"/>
      <c r="K95" s="6"/>
      <c r="L95" s="6">
        <v>141.18227999999999</v>
      </c>
      <c r="M95" s="6">
        <v>2.6120531647015164</v>
      </c>
      <c r="N95" s="6"/>
      <c r="O95" s="6">
        <v>1.3636626506024097</v>
      </c>
      <c r="P95" s="6">
        <v>1.2831876759504239</v>
      </c>
      <c r="Q95" s="6">
        <v>11.708000000000002</v>
      </c>
      <c r="R95" s="6">
        <v>37.832490399999998</v>
      </c>
      <c r="S95" s="4"/>
      <c r="V95" s="2">
        <f t="shared" si="21"/>
        <v>1</v>
      </c>
      <c r="W95" s="2">
        <f t="shared" si="3"/>
        <v>1</v>
      </c>
      <c r="X95" s="2" t="str">
        <f t="shared" si="4"/>
        <v xml:space="preserve"> </v>
      </c>
      <c r="Y95" s="2">
        <f t="shared" si="5"/>
        <v>1</v>
      </c>
      <c r="Z95" s="2">
        <f t="shared" si="6"/>
        <v>1</v>
      </c>
      <c r="AA95" s="2">
        <f t="shared" si="7"/>
        <v>1</v>
      </c>
      <c r="AB95" s="2">
        <f t="shared" si="8"/>
        <v>1</v>
      </c>
      <c r="AC95" s="2" t="str">
        <f t="shared" si="9"/>
        <v xml:space="preserve"> </v>
      </c>
      <c r="AD95" s="2" t="str">
        <f t="shared" si="10"/>
        <v xml:space="preserve"> </v>
      </c>
      <c r="AF95" s="2">
        <f t="shared" si="11"/>
        <v>1</v>
      </c>
      <c r="AG95" s="2">
        <f t="shared" si="12"/>
        <v>1</v>
      </c>
      <c r="AH95" s="2" t="str">
        <f t="shared" si="13"/>
        <v xml:space="preserve"> </v>
      </c>
      <c r="AI95" s="2">
        <f t="shared" si="14"/>
        <v>1</v>
      </c>
      <c r="AJ95" s="2">
        <f t="shared" si="15"/>
        <v>1</v>
      </c>
      <c r="AK95" s="2">
        <f t="shared" si="16"/>
        <v>1</v>
      </c>
      <c r="AL95" s="2">
        <f t="shared" si="17"/>
        <v>1</v>
      </c>
      <c r="AM95" s="2" t="str">
        <f t="shared" si="18"/>
        <v xml:space="preserve"> </v>
      </c>
      <c r="AN95" s="2" t="str">
        <f t="shared" si="19"/>
        <v xml:space="preserve"> </v>
      </c>
    </row>
    <row r="96" spans="1:40" x14ac:dyDescent="0.25">
      <c r="A96">
        <v>1889</v>
      </c>
      <c r="B96" s="6">
        <v>181.89847399999999</v>
      </c>
      <c r="C96" s="6">
        <v>1.5659615184979132</v>
      </c>
      <c r="D96" s="6"/>
      <c r="E96" s="6">
        <v>2.4664059172055919</v>
      </c>
      <c r="F96" s="6">
        <v>2.458849388137851</v>
      </c>
      <c r="G96" s="6">
        <v>5.4390000000000001</v>
      </c>
      <c r="H96" s="6">
        <v>30.7166283</v>
      </c>
      <c r="I96" s="6"/>
      <c r="J96" s="6"/>
      <c r="K96" s="6"/>
      <c r="L96" s="6">
        <v>143.03086500000001</v>
      </c>
      <c r="M96" s="6">
        <v>2.5232542867978562</v>
      </c>
      <c r="N96" s="6"/>
      <c r="O96" s="6">
        <v>1.44870851566433</v>
      </c>
      <c r="P96" s="6">
        <v>1.361380427418061</v>
      </c>
      <c r="Q96" s="6">
        <v>13.874000000000001</v>
      </c>
      <c r="R96" s="6">
        <v>45.478526699999996</v>
      </c>
      <c r="S96" s="4"/>
      <c r="V96" s="2">
        <f t="shared" si="21"/>
        <v>1</v>
      </c>
      <c r="W96" s="2">
        <f t="shared" si="3"/>
        <v>1</v>
      </c>
      <c r="X96" s="2" t="str">
        <f t="shared" si="4"/>
        <v xml:space="preserve"> </v>
      </c>
      <c r="Y96" s="2">
        <f t="shared" si="5"/>
        <v>1</v>
      </c>
      <c r="Z96" s="2">
        <f t="shared" si="6"/>
        <v>1</v>
      </c>
      <c r="AA96" s="2">
        <f t="shared" si="7"/>
        <v>1</v>
      </c>
      <c r="AB96" s="2">
        <f t="shared" si="8"/>
        <v>1</v>
      </c>
      <c r="AC96" s="2" t="str">
        <f t="shared" si="9"/>
        <v xml:space="preserve"> </v>
      </c>
      <c r="AD96" s="2" t="str">
        <f t="shared" si="10"/>
        <v xml:space="preserve"> </v>
      </c>
      <c r="AF96" s="2">
        <f t="shared" si="11"/>
        <v>1</v>
      </c>
      <c r="AG96" s="2">
        <f t="shared" si="12"/>
        <v>1</v>
      </c>
      <c r="AH96" s="2" t="str">
        <f t="shared" si="13"/>
        <v xml:space="preserve"> </v>
      </c>
      <c r="AI96" s="2">
        <f t="shared" si="14"/>
        <v>1</v>
      </c>
      <c r="AJ96" s="2">
        <f t="shared" si="15"/>
        <v>1</v>
      </c>
      <c r="AK96" s="2">
        <f t="shared" si="16"/>
        <v>1</v>
      </c>
      <c r="AL96" s="2">
        <f t="shared" si="17"/>
        <v>1</v>
      </c>
      <c r="AM96" s="2" t="str">
        <f t="shared" si="18"/>
        <v xml:space="preserve"> </v>
      </c>
      <c r="AN96" s="2" t="str">
        <f t="shared" si="19"/>
        <v xml:space="preserve"> </v>
      </c>
    </row>
    <row r="97" spans="1:40" x14ac:dyDescent="0.25">
      <c r="A97">
        <v>1890</v>
      </c>
      <c r="B97" s="6">
        <v>170.56394900000001</v>
      </c>
      <c r="C97" s="6">
        <v>1.7069095815223787</v>
      </c>
      <c r="D97" s="6"/>
      <c r="E97" s="6">
        <v>2.4698189134808852</v>
      </c>
      <c r="F97" s="6">
        <v>2.091821529096336</v>
      </c>
      <c r="G97" s="6">
        <v>6.9619999999999997</v>
      </c>
      <c r="H97" s="6">
        <v>30.426729999999999</v>
      </c>
      <c r="I97" s="6"/>
      <c r="J97" s="6"/>
      <c r="K97" s="6"/>
      <c r="L97" s="6">
        <v>142.19320400000001</v>
      </c>
      <c r="M97" s="6">
        <v>2.1058411152632068</v>
      </c>
      <c r="N97" s="6"/>
      <c r="O97" s="6">
        <v>1.5390419439715217</v>
      </c>
      <c r="P97" s="6">
        <v>0.92863192512524784</v>
      </c>
      <c r="Q97" s="6">
        <v>13.143000000000001</v>
      </c>
      <c r="R97" s="6">
        <v>47.691226</v>
      </c>
      <c r="S97" s="4"/>
      <c r="V97" s="2">
        <f t="shared" si="21"/>
        <v>1</v>
      </c>
      <c r="W97" s="2">
        <f t="shared" ref="W97:W145" si="22">+IF(C97&gt;0,1," ")</f>
        <v>1</v>
      </c>
      <c r="X97" s="2" t="str">
        <f t="shared" ref="X97:X145" si="23">+IF(D97&gt;0,1," ")</f>
        <v xml:space="preserve"> </v>
      </c>
      <c r="Y97" s="2">
        <f t="shared" ref="Y97:Y145" si="24">+IF(E97&gt;0,1," ")</f>
        <v>1</v>
      </c>
      <c r="Z97" s="2">
        <f t="shared" ref="Z97:Z145" si="25">+IF(F97&gt;0,1," ")</f>
        <v>1</v>
      </c>
      <c r="AA97" s="2">
        <f t="shared" ref="AA97:AA145" si="26">+IF(G97&gt;0,1," ")</f>
        <v>1</v>
      </c>
      <c r="AB97" s="2">
        <f t="shared" ref="AB97:AB145" si="27">+IF(H97&gt;0,1," ")</f>
        <v>1</v>
      </c>
      <c r="AC97" s="2" t="str">
        <f t="shared" ref="AC97:AC145" si="28">+IF(I97&gt;0,1," ")</f>
        <v xml:space="preserve"> </v>
      </c>
      <c r="AD97" s="2" t="str">
        <f t="shared" ref="AD97:AD145" si="29">+IF(J97&gt;0,1," ")</f>
        <v xml:space="preserve"> </v>
      </c>
      <c r="AF97" s="2">
        <f t="shared" ref="AF97:AF145" si="30">+IF(L97&gt;0,1," ")</f>
        <v>1</v>
      </c>
      <c r="AG97" s="2">
        <f t="shared" ref="AG97:AG145" si="31">+IF(M97&gt;0,1," ")</f>
        <v>1</v>
      </c>
      <c r="AH97" s="2" t="str">
        <f t="shared" ref="AH97:AH145" si="32">+IF(N97&gt;0,1," ")</f>
        <v xml:space="preserve"> </v>
      </c>
      <c r="AI97" s="2">
        <f t="shared" ref="AI97:AI145" si="33">+IF(O97&gt;0,1," ")</f>
        <v>1</v>
      </c>
      <c r="AJ97" s="2">
        <f t="shared" ref="AJ97:AJ145" si="34">+IF(P97&gt;0,1," ")</f>
        <v>1</v>
      </c>
      <c r="AK97" s="2">
        <f t="shared" ref="AK97:AK145" si="35">+IF(Q97&gt;0,1," ")</f>
        <v>1</v>
      </c>
      <c r="AL97" s="2">
        <f t="shared" ref="AL97:AL145" si="36">+IF(R97&gt;0,1," ")</f>
        <v>1</v>
      </c>
      <c r="AM97" s="2" t="str">
        <f t="shared" ref="AM97:AM145" si="37">+IF(S97&gt;0,1," ")</f>
        <v xml:space="preserve"> </v>
      </c>
      <c r="AN97" s="2" t="str">
        <f t="shared" ref="AN97:AN145" si="38">+IF(T97&gt;0,1," ")</f>
        <v xml:space="preserve"> </v>
      </c>
    </row>
    <row r="98" spans="1:40" x14ac:dyDescent="0.25">
      <c r="A98">
        <v>1891</v>
      </c>
      <c r="B98" s="6">
        <v>182.26374300000003</v>
      </c>
      <c r="C98" s="6">
        <v>2.0506478114688718</v>
      </c>
      <c r="D98" s="6"/>
      <c r="E98" s="6">
        <v>2.9164813489838144</v>
      </c>
      <c r="F98" s="6">
        <v>2.5900446501885632</v>
      </c>
      <c r="G98" s="6">
        <v>7.4390000000000001</v>
      </c>
      <c r="H98" s="6">
        <v>31.6165944</v>
      </c>
      <c r="I98" s="6"/>
      <c r="J98" s="6"/>
      <c r="K98" s="6"/>
      <c r="L98" s="6">
        <v>174.19213200000002</v>
      </c>
      <c r="M98" s="6">
        <v>3.215249543760442</v>
      </c>
      <c r="N98" s="6"/>
      <c r="O98" s="6">
        <v>2.551002649237136</v>
      </c>
      <c r="P98" s="6">
        <v>3.1194156497785217</v>
      </c>
      <c r="Q98" s="6">
        <v>10.259</v>
      </c>
      <c r="R98" s="6">
        <v>46.020033700000006</v>
      </c>
      <c r="S98" s="4"/>
      <c r="V98" s="2">
        <f t="shared" si="21"/>
        <v>1</v>
      </c>
      <c r="W98" s="2">
        <f t="shared" si="22"/>
        <v>1</v>
      </c>
      <c r="X98" s="2" t="str">
        <f t="shared" si="23"/>
        <v xml:space="preserve"> </v>
      </c>
      <c r="Y98" s="2">
        <f t="shared" si="24"/>
        <v>1</v>
      </c>
      <c r="Z98" s="2">
        <f t="shared" si="25"/>
        <v>1</v>
      </c>
      <c r="AA98" s="2">
        <f t="shared" si="26"/>
        <v>1</v>
      </c>
      <c r="AB98" s="2">
        <f t="shared" si="27"/>
        <v>1</v>
      </c>
      <c r="AC98" s="2" t="str">
        <f t="shared" si="28"/>
        <v xml:space="preserve"> </v>
      </c>
      <c r="AD98" s="2" t="str">
        <f t="shared" si="29"/>
        <v xml:space="preserve"> </v>
      </c>
      <c r="AF98" s="2">
        <f t="shared" si="30"/>
        <v>1</v>
      </c>
      <c r="AG98" s="2">
        <f t="shared" si="31"/>
        <v>1</v>
      </c>
      <c r="AH98" s="2" t="str">
        <f t="shared" si="32"/>
        <v xml:space="preserve"> </v>
      </c>
      <c r="AI98" s="2">
        <f t="shared" si="33"/>
        <v>1</v>
      </c>
      <c r="AJ98" s="2">
        <f t="shared" si="34"/>
        <v>1</v>
      </c>
      <c r="AK98" s="2">
        <f t="shared" si="35"/>
        <v>1</v>
      </c>
      <c r="AL98" s="2">
        <f t="shared" si="36"/>
        <v>1</v>
      </c>
      <c r="AM98" s="2" t="str">
        <f t="shared" si="37"/>
        <v xml:space="preserve"> </v>
      </c>
      <c r="AN98" s="2" t="str">
        <f t="shared" si="38"/>
        <v xml:space="preserve"> </v>
      </c>
    </row>
    <row r="99" spans="1:40" x14ac:dyDescent="0.25">
      <c r="A99">
        <v>1892</v>
      </c>
      <c r="B99" s="6">
        <v>146.87657999999999</v>
      </c>
      <c r="C99" s="6">
        <v>2.098749844519519</v>
      </c>
      <c r="D99" s="6"/>
      <c r="E99" s="6">
        <v>3.2921675067855762</v>
      </c>
      <c r="F99" s="6">
        <v>4.6252127170420341</v>
      </c>
      <c r="G99" s="6">
        <v>4.6840000000000002</v>
      </c>
      <c r="H99" s="6">
        <v>33.833933299999998</v>
      </c>
      <c r="I99" s="6"/>
      <c r="J99" s="6"/>
      <c r="K99" s="6"/>
      <c r="L99" s="6">
        <v>162.77885999999998</v>
      </c>
      <c r="M99" s="6">
        <v>2.9443848276492752</v>
      </c>
      <c r="N99" s="6"/>
      <c r="O99" s="6">
        <v>2.0913144629701437</v>
      </c>
      <c r="P99" s="6">
        <v>1.7475929409876989</v>
      </c>
      <c r="Q99" s="6">
        <v>8.06</v>
      </c>
      <c r="R99" s="6">
        <v>46.465008500000003</v>
      </c>
      <c r="S99" s="4"/>
      <c r="V99" s="2">
        <f t="shared" si="21"/>
        <v>1</v>
      </c>
      <c r="W99" s="2">
        <f t="shared" si="22"/>
        <v>1</v>
      </c>
      <c r="X99" s="2" t="str">
        <f t="shared" si="23"/>
        <v xml:space="preserve"> </v>
      </c>
      <c r="Y99" s="2">
        <f t="shared" si="24"/>
        <v>1</v>
      </c>
      <c r="Z99" s="2">
        <f t="shared" si="25"/>
        <v>1</v>
      </c>
      <c r="AA99" s="2">
        <f t="shared" si="26"/>
        <v>1</v>
      </c>
      <c r="AB99" s="2">
        <f t="shared" si="27"/>
        <v>1</v>
      </c>
      <c r="AC99" s="2" t="str">
        <f t="shared" si="28"/>
        <v xml:space="preserve"> </v>
      </c>
      <c r="AD99" s="2" t="str">
        <f t="shared" si="29"/>
        <v xml:space="preserve"> </v>
      </c>
      <c r="AF99" s="2">
        <f t="shared" si="30"/>
        <v>1</v>
      </c>
      <c r="AG99" s="2">
        <f t="shared" si="31"/>
        <v>1</v>
      </c>
      <c r="AH99" s="2" t="str">
        <f t="shared" si="32"/>
        <v xml:space="preserve"> </v>
      </c>
      <c r="AI99" s="2">
        <f t="shared" si="33"/>
        <v>1</v>
      </c>
      <c r="AJ99" s="2">
        <f t="shared" si="34"/>
        <v>1</v>
      </c>
      <c r="AK99" s="2">
        <f t="shared" si="35"/>
        <v>1</v>
      </c>
      <c r="AL99" s="2">
        <f t="shared" si="36"/>
        <v>1</v>
      </c>
      <c r="AM99" s="2" t="str">
        <f t="shared" si="37"/>
        <v xml:space="preserve"> </v>
      </c>
      <c r="AN99" s="2" t="str">
        <f t="shared" si="38"/>
        <v xml:space="preserve"> </v>
      </c>
    </row>
    <row r="100" spans="1:40" x14ac:dyDescent="0.25">
      <c r="A100">
        <v>1893</v>
      </c>
      <c r="B100" s="6">
        <v>115.78129299999999</v>
      </c>
      <c r="C100" s="6">
        <v>2.278614817396833</v>
      </c>
      <c r="D100" s="6"/>
      <c r="E100" s="6">
        <v>2.3388989082164953</v>
      </c>
      <c r="F100" s="6">
        <v>2.514400622437023</v>
      </c>
      <c r="G100" s="6">
        <v>5.3470000000000004</v>
      </c>
      <c r="H100" s="6">
        <v>33.614412899999998</v>
      </c>
      <c r="I100" s="6"/>
      <c r="J100" s="6"/>
      <c r="K100" s="6"/>
      <c r="L100" s="6">
        <v>161.86000699999997</v>
      </c>
      <c r="M100" s="6">
        <v>2.4272837032844303</v>
      </c>
      <c r="N100" s="6"/>
      <c r="O100" s="6">
        <v>2.4979153334496864</v>
      </c>
      <c r="P100" s="6">
        <v>3.3716422432220203</v>
      </c>
      <c r="Q100" s="6">
        <v>10.818</v>
      </c>
      <c r="R100" s="6">
        <v>43.702141499999996</v>
      </c>
      <c r="S100" s="4"/>
      <c r="V100" s="2">
        <f t="shared" si="21"/>
        <v>1</v>
      </c>
      <c r="W100" s="2">
        <f t="shared" si="22"/>
        <v>1</v>
      </c>
      <c r="X100" s="2" t="str">
        <f t="shared" si="23"/>
        <v xml:space="preserve"> </v>
      </c>
      <c r="Y100" s="2">
        <f t="shared" si="24"/>
        <v>1</v>
      </c>
      <c r="Z100" s="2">
        <f t="shared" si="25"/>
        <v>1</v>
      </c>
      <c r="AA100" s="2">
        <f t="shared" si="26"/>
        <v>1</v>
      </c>
      <c r="AB100" s="2">
        <f t="shared" si="27"/>
        <v>1</v>
      </c>
      <c r="AC100" s="2" t="str">
        <f t="shared" si="28"/>
        <v xml:space="preserve"> </v>
      </c>
      <c r="AD100" s="2" t="str">
        <f t="shared" si="29"/>
        <v xml:space="preserve"> </v>
      </c>
      <c r="AF100" s="2">
        <f t="shared" si="30"/>
        <v>1</v>
      </c>
      <c r="AG100" s="2">
        <f t="shared" si="31"/>
        <v>1</v>
      </c>
      <c r="AH100" s="2" t="str">
        <f t="shared" si="32"/>
        <v xml:space="preserve"> </v>
      </c>
      <c r="AI100" s="2">
        <f t="shared" si="33"/>
        <v>1</v>
      </c>
      <c r="AJ100" s="2">
        <f t="shared" si="34"/>
        <v>1</v>
      </c>
      <c r="AK100" s="2">
        <f t="shared" si="35"/>
        <v>1</v>
      </c>
      <c r="AL100" s="2">
        <f t="shared" si="36"/>
        <v>1</v>
      </c>
      <c r="AM100" s="2" t="str">
        <f t="shared" si="37"/>
        <v xml:space="preserve"> </v>
      </c>
      <c r="AN100" s="2" t="str">
        <f t="shared" si="38"/>
        <v xml:space="preserve"> </v>
      </c>
    </row>
    <row r="101" spans="1:40" x14ac:dyDescent="0.25">
      <c r="A101">
        <v>1894</v>
      </c>
      <c r="B101" s="6">
        <v>106.67270999999998</v>
      </c>
      <c r="C101" s="6">
        <v>2.3683854359337086</v>
      </c>
      <c r="D101" s="6"/>
      <c r="E101" s="6">
        <v>2.1814619383875224</v>
      </c>
      <c r="F101" s="6">
        <v>2.4996900653185739</v>
      </c>
      <c r="G101" s="6">
        <v>5.7130000000000001</v>
      </c>
      <c r="H101" s="6">
        <v>33.104397200000001</v>
      </c>
      <c r="I101" s="6"/>
      <c r="J101" s="6"/>
      <c r="K101" s="6"/>
      <c r="L101" s="6">
        <v>156.502017</v>
      </c>
      <c r="M101" s="6">
        <v>3.9326025998741501</v>
      </c>
      <c r="N101" s="6"/>
      <c r="O101" s="6">
        <v>1.8555521067742686</v>
      </c>
      <c r="P101" s="6">
        <v>1.6999799859429399</v>
      </c>
      <c r="Q101" s="6">
        <v>9.141</v>
      </c>
      <c r="R101" s="6">
        <v>45.0186639</v>
      </c>
      <c r="S101" s="4"/>
      <c r="V101" s="2">
        <f t="shared" si="21"/>
        <v>1</v>
      </c>
      <c r="W101" s="2">
        <f t="shared" si="22"/>
        <v>1</v>
      </c>
      <c r="X101" s="2" t="str">
        <f t="shared" si="23"/>
        <v xml:space="preserve"> </v>
      </c>
      <c r="Y101" s="2">
        <f t="shared" si="24"/>
        <v>1</v>
      </c>
      <c r="Z101" s="2">
        <f t="shared" si="25"/>
        <v>1</v>
      </c>
      <c r="AA101" s="2">
        <f t="shared" si="26"/>
        <v>1</v>
      </c>
      <c r="AB101" s="2">
        <f t="shared" si="27"/>
        <v>1</v>
      </c>
      <c r="AC101" s="2" t="str">
        <f t="shared" si="28"/>
        <v xml:space="preserve"> </v>
      </c>
      <c r="AD101" s="2" t="str">
        <f t="shared" si="29"/>
        <v xml:space="preserve"> </v>
      </c>
      <c r="AF101" s="2">
        <f t="shared" si="30"/>
        <v>1</v>
      </c>
      <c r="AG101" s="2">
        <f t="shared" si="31"/>
        <v>1</v>
      </c>
      <c r="AH101" s="2" t="str">
        <f t="shared" si="32"/>
        <v xml:space="preserve"> </v>
      </c>
      <c r="AI101" s="2">
        <f t="shared" si="33"/>
        <v>1</v>
      </c>
      <c r="AJ101" s="2">
        <f t="shared" si="34"/>
        <v>1</v>
      </c>
      <c r="AK101" s="2">
        <f t="shared" si="35"/>
        <v>1</v>
      </c>
      <c r="AL101" s="2">
        <f t="shared" si="36"/>
        <v>1</v>
      </c>
      <c r="AM101" s="2" t="str">
        <f t="shared" si="37"/>
        <v xml:space="preserve"> </v>
      </c>
      <c r="AN101" s="2" t="str">
        <f t="shared" si="38"/>
        <v xml:space="preserve"> </v>
      </c>
    </row>
    <row r="102" spans="1:40" x14ac:dyDescent="0.25">
      <c r="A102">
        <v>1895</v>
      </c>
      <c r="B102" s="6">
        <v>112.9492</v>
      </c>
      <c r="C102" s="6">
        <v>2.0345504536877215</v>
      </c>
      <c r="D102" s="6"/>
      <c r="E102" s="6">
        <v>1.9081965938253362</v>
      </c>
      <c r="F102" s="6">
        <v>1.590807256002412</v>
      </c>
      <c r="G102" s="6">
        <v>5.7140000000000004</v>
      </c>
      <c r="H102" s="6">
        <v>34.8877971</v>
      </c>
      <c r="I102" s="6"/>
      <c r="J102" s="6"/>
      <c r="K102" s="6"/>
      <c r="L102" s="6">
        <v>163.77634</v>
      </c>
      <c r="M102" s="6">
        <v>2.2888646295196216</v>
      </c>
      <c r="N102" s="6"/>
      <c r="O102" s="6">
        <v>2.0300956528501435</v>
      </c>
      <c r="P102" s="6">
        <v>2.3514031505713597</v>
      </c>
      <c r="Q102" s="6">
        <v>8.4740000000000002</v>
      </c>
      <c r="R102" s="6">
        <v>42.772624999999998</v>
      </c>
      <c r="S102" s="4"/>
      <c r="V102" s="2">
        <f t="shared" si="21"/>
        <v>1</v>
      </c>
      <c r="W102" s="2">
        <f t="shared" si="22"/>
        <v>1</v>
      </c>
      <c r="X102" s="2" t="str">
        <f t="shared" si="23"/>
        <v xml:space="preserve"> </v>
      </c>
      <c r="Y102" s="2">
        <f t="shared" si="24"/>
        <v>1</v>
      </c>
      <c r="Z102" s="2">
        <f t="shared" si="25"/>
        <v>1</v>
      </c>
      <c r="AA102" s="2">
        <f t="shared" si="26"/>
        <v>1</v>
      </c>
      <c r="AB102" s="2">
        <f t="shared" si="27"/>
        <v>1</v>
      </c>
      <c r="AC102" s="2" t="str">
        <f t="shared" si="28"/>
        <v xml:space="preserve"> </v>
      </c>
      <c r="AD102" s="2" t="str">
        <f t="shared" si="29"/>
        <v xml:space="preserve"> </v>
      </c>
      <c r="AF102" s="2">
        <f t="shared" si="30"/>
        <v>1</v>
      </c>
      <c r="AG102" s="2">
        <f t="shared" si="31"/>
        <v>1</v>
      </c>
      <c r="AH102" s="2" t="str">
        <f t="shared" si="32"/>
        <v xml:space="preserve"> </v>
      </c>
      <c r="AI102" s="2">
        <f t="shared" si="33"/>
        <v>1</v>
      </c>
      <c r="AJ102" s="2">
        <f t="shared" si="34"/>
        <v>1</v>
      </c>
      <c r="AK102" s="2">
        <f t="shared" si="35"/>
        <v>1</v>
      </c>
      <c r="AL102" s="2">
        <f t="shared" si="36"/>
        <v>1</v>
      </c>
      <c r="AM102" s="2" t="str">
        <f t="shared" si="37"/>
        <v xml:space="preserve"> </v>
      </c>
      <c r="AN102" s="2" t="str">
        <f t="shared" si="38"/>
        <v xml:space="preserve"> </v>
      </c>
    </row>
    <row r="103" spans="1:40" x14ac:dyDescent="0.25">
      <c r="A103">
        <v>1896</v>
      </c>
      <c r="B103" s="6">
        <v>143.91032000000001</v>
      </c>
      <c r="C103" s="6">
        <v>2.0476633455953728</v>
      </c>
      <c r="D103" s="6"/>
      <c r="E103" s="6">
        <v>2.2809028047548749</v>
      </c>
      <c r="F103" s="6">
        <v>2.2040981620529716</v>
      </c>
      <c r="G103" s="6">
        <v>7.165</v>
      </c>
      <c r="H103" s="6">
        <v>39.237515999999999</v>
      </c>
      <c r="I103" s="6"/>
      <c r="J103" s="6"/>
      <c r="K103" s="6"/>
      <c r="L103" s="6">
        <v>159.92192000000003</v>
      </c>
      <c r="M103" s="6">
        <v>2.9799399286584451</v>
      </c>
      <c r="N103" s="6"/>
      <c r="O103" s="6">
        <v>1.7465620386916321</v>
      </c>
      <c r="P103" s="6">
        <v>1.5418340761118918</v>
      </c>
      <c r="Q103" s="6">
        <v>15.515000000000001</v>
      </c>
      <c r="R103" s="6">
        <v>45.404455200000001</v>
      </c>
      <c r="S103" s="4"/>
      <c r="V103" s="2">
        <f t="shared" si="21"/>
        <v>1</v>
      </c>
      <c r="W103" s="2">
        <f t="shared" si="22"/>
        <v>1</v>
      </c>
      <c r="X103" s="2" t="str">
        <f t="shared" si="23"/>
        <v xml:space="preserve"> </v>
      </c>
      <c r="Y103" s="2">
        <f t="shared" si="24"/>
        <v>1</v>
      </c>
      <c r="Z103" s="2">
        <f t="shared" si="25"/>
        <v>1</v>
      </c>
      <c r="AA103" s="2">
        <f t="shared" si="26"/>
        <v>1</v>
      </c>
      <c r="AB103" s="2">
        <f t="shared" si="27"/>
        <v>1</v>
      </c>
      <c r="AC103" s="2" t="str">
        <f t="shared" si="28"/>
        <v xml:space="preserve"> </v>
      </c>
      <c r="AD103" s="2" t="str">
        <f t="shared" si="29"/>
        <v xml:space="preserve"> </v>
      </c>
      <c r="AF103" s="2">
        <f t="shared" si="30"/>
        <v>1</v>
      </c>
      <c r="AG103" s="2">
        <f t="shared" si="31"/>
        <v>1</v>
      </c>
      <c r="AH103" s="2" t="str">
        <f t="shared" si="32"/>
        <v xml:space="preserve"> </v>
      </c>
      <c r="AI103" s="2">
        <f t="shared" si="33"/>
        <v>1</v>
      </c>
      <c r="AJ103" s="2">
        <f t="shared" si="34"/>
        <v>1</v>
      </c>
      <c r="AK103" s="2">
        <f t="shared" si="35"/>
        <v>1</v>
      </c>
      <c r="AL103" s="2">
        <f t="shared" si="36"/>
        <v>1</v>
      </c>
      <c r="AM103" s="2" t="str">
        <f t="shared" si="37"/>
        <v xml:space="preserve"> </v>
      </c>
      <c r="AN103" s="2" t="str">
        <f t="shared" si="38"/>
        <v xml:space="preserve"> </v>
      </c>
    </row>
    <row r="104" spans="1:40" x14ac:dyDescent="0.25">
      <c r="A104">
        <v>1897</v>
      </c>
      <c r="B104" s="6">
        <v>154.54577600000002</v>
      </c>
      <c r="C104" s="6">
        <v>2.2298359458811889</v>
      </c>
      <c r="D104" s="6"/>
      <c r="E104" s="6">
        <v>2.3565557881677908</v>
      </c>
      <c r="F104" s="6">
        <v>2.283795300297323</v>
      </c>
      <c r="G104" s="6">
        <v>8.8379999999999992</v>
      </c>
      <c r="H104" s="6">
        <v>39.1738815</v>
      </c>
      <c r="I104" s="6"/>
      <c r="J104" s="6"/>
      <c r="K104" s="6"/>
      <c r="L104" s="6">
        <v>182.68896800000002</v>
      </c>
      <c r="M104" s="6">
        <v>3.0733761221911724</v>
      </c>
      <c r="N104" s="6"/>
      <c r="O104" s="6">
        <v>1.975265565635419</v>
      </c>
      <c r="P104" s="6">
        <v>2.1017060294736112</v>
      </c>
      <c r="Q104" s="6">
        <v>16.021999999999998</v>
      </c>
      <c r="R104" s="6">
        <v>48.715676099999996</v>
      </c>
      <c r="S104" s="4"/>
      <c r="V104" s="2">
        <f t="shared" si="21"/>
        <v>1</v>
      </c>
      <c r="W104" s="2">
        <f t="shared" si="22"/>
        <v>1</v>
      </c>
      <c r="X104" s="2" t="str">
        <f t="shared" si="23"/>
        <v xml:space="preserve"> </v>
      </c>
      <c r="Y104" s="2">
        <f t="shared" si="24"/>
        <v>1</v>
      </c>
      <c r="Z104" s="2">
        <f t="shared" si="25"/>
        <v>1</v>
      </c>
      <c r="AA104" s="2">
        <f t="shared" si="26"/>
        <v>1</v>
      </c>
      <c r="AB104" s="2">
        <f t="shared" si="27"/>
        <v>1</v>
      </c>
      <c r="AC104" s="2" t="str">
        <f t="shared" si="28"/>
        <v xml:space="preserve"> </v>
      </c>
      <c r="AD104" s="2" t="str">
        <f t="shared" si="29"/>
        <v xml:space="preserve"> </v>
      </c>
      <c r="AF104" s="2">
        <f t="shared" si="30"/>
        <v>1</v>
      </c>
      <c r="AG104" s="2">
        <f t="shared" si="31"/>
        <v>1</v>
      </c>
      <c r="AH104" s="2" t="str">
        <f t="shared" si="32"/>
        <v xml:space="preserve"> </v>
      </c>
      <c r="AI104" s="2">
        <f t="shared" si="33"/>
        <v>1</v>
      </c>
      <c r="AJ104" s="2">
        <f t="shared" si="34"/>
        <v>1</v>
      </c>
      <c r="AK104" s="2">
        <f t="shared" si="35"/>
        <v>1</v>
      </c>
      <c r="AL104" s="2">
        <f t="shared" si="36"/>
        <v>1</v>
      </c>
      <c r="AM104" s="2" t="str">
        <f t="shared" si="37"/>
        <v xml:space="preserve"> </v>
      </c>
      <c r="AN104" s="2" t="str">
        <f t="shared" si="38"/>
        <v xml:space="preserve"> </v>
      </c>
    </row>
    <row r="105" spans="1:40" x14ac:dyDescent="0.25">
      <c r="A105">
        <v>1898</v>
      </c>
      <c r="B105" s="6">
        <v>152.00432800000002</v>
      </c>
      <c r="C105" s="6">
        <v>2.0846646222478076</v>
      </c>
      <c r="D105" s="6"/>
      <c r="E105" s="6">
        <v>2.4238344360670876</v>
      </c>
      <c r="F105" s="6">
        <v>2.2217212394564232</v>
      </c>
      <c r="G105" s="6">
        <v>11.651</v>
      </c>
      <c r="H105" s="6">
        <v>39.896571000000002</v>
      </c>
      <c r="I105" s="6"/>
      <c r="J105" s="6"/>
      <c r="K105" s="6"/>
      <c r="L105" s="6">
        <v>193.96486200000001</v>
      </c>
      <c r="M105" s="6">
        <v>3.7649522048942061</v>
      </c>
      <c r="N105" s="6"/>
      <c r="O105" s="6">
        <v>1.8504769964609944</v>
      </c>
      <c r="P105" s="6">
        <v>1.4386871665379006</v>
      </c>
      <c r="Q105" s="6">
        <v>17.347000000000001</v>
      </c>
      <c r="R105" s="6">
        <v>50.988108599999997</v>
      </c>
      <c r="S105" s="4"/>
      <c r="V105" s="2">
        <f t="shared" si="21"/>
        <v>1</v>
      </c>
      <c r="W105" s="2">
        <f t="shared" si="22"/>
        <v>1</v>
      </c>
      <c r="X105" s="2" t="str">
        <f t="shared" si="23"/>
        <v xml:space="preserve"> </v>
      </c>
      <c r="Y105" s="2">
        <f t="shared" si="24"/>
        <v>1</v>
      </c>
      <c r="Z105" s="2">
        <f t="shared" si="25"/>
        <v>1</v>
      </c>
      <c r="AA105" s="2">
        <f t="shared" si="26"/>
        <v>1</v>
      </c>
      <c r="AB105" s="2">
        <f t="shared" si="27"/>
        <v>1</v>
      </c>
      <c r="AC105" s="2" t="str">
        <f t="shared" si="28"/>
        <v xml:space="preserve"> </v>
      </c>
      <c r="AD105" s="2" t="str">
        <f t="shared" si="29"/>
        <v xml:space="preserve"> </v>
      </c>
      <c r="AF105" s="2">
        <f t="shared" si="30"/>
        <v>1</v>
      </c>
      <c r="AG105" s="2">
        <f t="shared" si="31"/>
        <v>1</v>
      </c>
      <c r="AH105" s="2" t="str">
        <f t="shared" si="32"/>
        <v xml:space="preserve"> </v>
      </c>
      <c r="AI105" s="2">
        <f t="shared" si="33"/>
        <v>1</v>
      </c>
      <c r="AJ105" s="2">
        <f t="shared" si="34"/>
        <v>1</v>
      </c>
      <c r="AK105" s="2">
        <f t="shared" si="35"/>
        <v>1</v>
      </c>
      <c r="AL105" s="2">
        <f t="shared" si="36"/>
        <v>1</v>
      </c>
      <c r="AM105" s="2" t="str">
        <f t="shared" si="37"/>
        <v xml:space="preserve"> </v>
      </c>
      <c r="AN105" s="2" t="str">
        <f t="shared" si="38"/>
        <v xml:space="preserve"> </v>
      </c>
    </row>
    <row r="106" spans="1:40" x14ac:dyDescent="0.25">
      <c r="A106">
        <v>1899</v>
      </c>
      <c r="B106" s="6">
        <v>167.54413199999996</v>
      </c>
      <c r="C106" s="6">
        <v>2.45246048903909</v>
      </c>
      <c r="D106" s="6"/>
      <c r="E106" s="6">
        <v>2.6531164264461529</v>
      </c>
      <c r="F106" s="6">
        <v>0.95319797922028415</v>
      </c>
      <c r="G106" s="6">
        <v>19.059999999999999</v>
      </c>
      <c r="H106" s="6">
        <v>42.509612000000004</v>
      </c>
      <c r="I106" s="6"/>
      <c r="J106" s="6"/>
      <c r="K106" s="6"/>
      <c r="L106" s="6">
        <v>237.18743999999998</v>
      </c>
      <c r="M106" s="6">
        <v>3.5225557616286149</v>
      </c>
      <c r="N106" s="6"/>
      <c r="O106" s="6">
        <v>2.3880366320182382</v>
      </c>
      <c r="P106" s="6">
        <v>0.6910685349347061</v>
      </c>
      <c r="Q106" s="6">
        <v>22.628999999999998</v>
      </c>
      <c r="R106" s="6">
        <v>58.064044400000007</v>
      </c>
      <c r="S106" s="4"/>
      <c r="V106" s="2">
        <f t="shared" si="21"/>
        <v>1</v>
      </c>
      <c r="W106" s="2">
        <f t="shared" si="22"/>
        <v>1</v>
      </c>
      <c r="X106" s="2" t="str">
        <f t="shared" si="23"/>
        <v xml:space="preserve"> </v>
      </c>
      <c r="Y106" s="2">
        <f t="shared" si="24"/>
        <v>1</v>
      </c>
      <c r="Z106" s="2">
        <f t="shared" si="25"/>
        <v>1</v>
      </c>
      <c r="AA106" s="2">
        <f t="shared" si="26"/>
        <v>1</v>
      </c>
      <c r="AB106" s="2">
        <f t="shared" si="27"/>
        <v>1</v>
      </c>
      <c r="AC106" s="2" t="str">
        <f t="shared" si="28"/>
        <v xml:space="preserve"> </v>
      </c>
      <c r="AD106" s="2" t="str">
        <f t="shared" si="29"/>
        <v xml:space="preserve"> </v>
      </c>
      <c r="AF106" s="2">
        <f t="shared" si="30"/>
        <v>1</v>
      </c>
      <c r="AG106" s="2">
        <f t="shared" si="31"/>
        <v>1</v>
      </c>
      <c r="AH106" s="2" t="str">
        <f t="shared" si="32"/>
        <v xml:space="preserve"> </v>
      </c>
      <c r="AI106" s="2">
        <f t="shared" si="33"/>
        <v>1</v>
      </c>
      <c r="AJ106" s="2">
        <f t="shared" si="34"/>
        <v>1</v>
      </c>
      <c r="AK106" s="2">
        <f t="shared" si="35"/>
        <v>1</v>
      </c>
      <c r="AL106" s="2">
        <f t="shared" si="36"/>
        <v>1</v>
      </c>
      <c r="AM106" s="2" t="str">
        <f t="shared" si="37"/>
        <v xml:space="preserve"> </v>
      </c>
      <c r="AN106" s="2" t="str">
        <f t="shared" si="38"/>
        <v xml:space="preserve"> </v>
      </c>
    </row>
    <row r="107" spans="1:40" x14ac:dyDescent="0.25">
      <c r="A107">
        <v>1900</v>
      </c>
      <c r="B107" s="6">
        <v>200.05028700000003</v>
      </c>
      <c r="C107" s="6">
        <v>3.0813294102956479</v>
      </c>
      <c r="D107" s="6"/>
      <c r="E107" s="6">
        <v>3.0320530212007286</v>
      </c>
      <c r="F107" s="6">
        <v>1.0230787532714727</v>
      </c>
      <c r="G107" s="6">
        <v>17.094000000000001</v>
      </c>
      <c r="H107" s="6">
        <v>51.794919200000002</v>
      </c>
      <c r="I107" s="6"/>
      <c r="J107" s="6"/>
      <c r="K107" s="6"/>
      <c r="L107" s="6">
        <v>222.13846800000002</v>
      </c>
      <c r="M107" s="6">
        <v>4.3772854073410175</v>
      </c>
      <c r="N107" s="6"/>
      <c r="O107" s="6">
        <v>2.406689663191349</v>
      </c>
      <c r="P107" s="6">
        <v>0.57102069950035683</v>
      </c>
      <c r="Q107" s="6">
        <v>26.591999999999999</v>
      </c>
      <c r="R107" s="6">
        <v>64.444439199999991</v>
      </c>
      <c r="S107" s="4"/>
      <c r="V107" s="2">
        <f t="shared" si="21"/>
        <v>1</v>
      </c>
      <c r="W107" s="2">
        <f t="shared" si="22"/>
        <v>1</v>
      </c>
      <c r="X107" s="2" t="str">
        <f t="shared" si="23"/>
        <v xml:space="preserve"> </v>
      </c>
      <c r="Y107" s="2">
        <f t="shared" si="24"/>
        <v>1</v>
      </c>
      <c r="Z107" s="2">
        <f t="shared" si="25"/>
        <v>1</v>
      </c>
      <c r="AA107" s="2">
        <f t="shared" si="26"/>
        <v>1</v>
      </c>
      <c r="AB107" s="2">
        <f t="shared" si="27"/>
        <v>1</v>
      </c>
      <c r="AC107" s="2" t="str">
        <f t="shared" si="28"/>
        <v xml:space="preserve"> </v>
      </c>
      <c r="AD107" s="2" t="str">
        <f t="shared" si="29"/>
        <v xml:space="preserve"> </v>
      </c>
      <c r="AF107" s="2">
        <f t="shared" si="30"/>
        <v>1</v>
      </c>
      <c r="AG107" s="2">
        <f t="shared" si="31"/>
        <v>1</v>
      </c>
      <c r="AH107" s="2" t="str">
        <f t="shared" si="32"/>
        <v xml:space="preserve"> </v>
      </c>
      <c r="AI107" s="2">
        <f t="shared" si="33"/>
        <v>1</v>
      </c>
      <c r="AJ107" s="2">
        <f t="shared" si="34"/>
        <v>1</v>
      </c>
      <c r="AK107" s="2">
        <f t="shared" si="35"/>
        <v>1</v>
      </c>
      <c r="AL107" s="2">
        <f t="shared" si="36"/>
        <v>1</v>
      </c>
      <c r="AM107" s="2" t="str">
        <f t="shared" si="37"/>
        <v xml:space="preserve"> </v>
      </c>
      <c r="AN107" s="2" t="str">
        <f t="shared" si="38"/>
        <v xml:space="preserve"> </v>
      </c>
    </row>
    <row r="108" spans="1:40" x14ac:dyDescent="0.25">
      <c r="A108">
        <v>1901</v>
      </c>
      <c r="B108" s="6">
        <v>195.85377817189632</v>
      </c>
      <c r="C108" s="6">
        <v>3.0931106914463049</v>
      </c>
      <c r="D108" s="6"/>
      <c r="E108" s="6">
        <v>3.5250150459143059</v>
      </c>
      <c r="F108" s="6">
        <v>1.0747551946501075</v>
      </c>
      <c r="G108" s="6"/>
      <c r="H108" s="6">
        <v>57.585568599999995</v>
      </c>
      <c r="I108" s="6"/>
      <c r="J108" s="6"/>
      <c r="K108" s="6"/>
      <c r="L108" s="6">
        <v>171.19440999999998</v>
      </c>
      <c r="M108" s="6">
        <v>3.9285721863366794</v>
      </c>
      <c r="N108" s="6"/>
      <c r="O108" s="6">
        <v>2.8833796035644252</v>
      </c>
      <c r="P108" s="6">
        <v>1.8151421065201814</v>
      </c>
      <c r="Q108" s="6"/>
      <c r="R108" s="6">
        <v>62.770121399999994</v>
      </c>
      <c r="S108" s="4"/>
      <c r="V108" s="2">
        <f t="shared" si="21"/>
        <v>1</v>
      </c>
      <c r="W108" s="2">
        <f t="shared" si="22"/>
        <v>1</v>
      </c>
      <c r="X108" s="2" t="str">
        <f t="shared" si="23"/>
        <v xml:space="preserve"> </v>
      </c>
      <c r="Y108" s="2">
        <f t="shared" si="24"/>
        <v>1</v>
      </c>
      <c r="Z108" s="2">
        <f t="shared" si="25"/>
        <v>1</v>
      </c>
      <c r="AA108" s="2" t="str">
        <f t="shared" si="26"/>
        <v xml:space="preserve"> </v>
      </c>
      <c r="AB108" s="2">
        <f t="shared" si="27"/>
        <v>1</v>
      </c>
      <c r="AC108" s="2" t="str">
        <f t="shared" si="28"/>
        <v xml:space="preserve"> </v>
      </c>
      <c r="AD108" s="2" t="str">
        <f t="shared" si="29"/>
        <v xml:space="preserve"> </v>
      </c>
      <c r="AF108" s="2">
        <f t="shared" si="30"/>
        <v>1</v>
      </c>
      <c r="AG108" s="2">
        <f t="shared" si="31"/>
        <v>1</v>
      </c>
      <c r="AH108" s="2" t="str">
        <f t="shared" si="32"/>
        <v xml:space="preserve"> </v>
      </c>
      <c r="AI108" s="2">
        <f t="shared" si="33"/>
        <v>1</v>
      </c>
      <c r="AJ108" s="2">
        <f t="shared" si="34"/>
        <v>1</v>
      </c>
      <c r="AK108" s="2" t="str">
        <f t="shared" si="35"/>
        <v xml:space="preserve"> </v>
      </c>
      <c r="AL108" s="2">
        <f t="shared" si="36"/>
        <v>1</v>
      </c>
      <c r="AM108" s="2" t="str">
        <f t="shared" si="37"/>
        <v xml:space="preserve"> </v>
      </c>
      <c r="AN108" s="2" t="str">
        <f t="shared" si="38"/>
        <v xml:space="preserve"> </v>
      </c>
    </row>
    <row r="109" spans="1:40" x14ac:dyDescent="0.25">
      <c r="A109">
        <v>1902</v>
      </c>
      <c r="B109" s="6">
        <v>185.76662030674842</v>
      </c>
      <c r="C109" s="6">
        <v>4.4125693069906724</v>
      </c>
      <c r="D109" s="6"/>
      <c r="E109" s="6">
        <v>3.355093159254726</v>
      </c>
      <c r="F109" s="6">
        <v>1.4071070832339614</v>
      </c>
      <c r="G109" s="6"/>
      <c r="H109" s="6">
        <v>55.184011300000002</v>
      </c>
      <c r="I109" s="6"/>
      <c r="J109" s="6"/>
      <c r="K109" s="6"/>
      <c r="L109" s="6">
        <v>142.43902</v>
      </c>
      <c r="M109" s="6">
        <v>4.0404722709771876</v>
      </c>
      <c r="N109" s="6"/>
      <c r="O109" s="6">
        <v>3.2155971323657986</v>
      </c>
      <c r="P109" s="6">
        <v>0.90627235869305967</v>
      </c>
      <c r="Q109" s="6"/>
      <c r="R109" s="6">
        <v>66.477075499999998</v>
      </c>
      <c r="S109" s="4"/>
      <c r="V109" s="2">
        <f t="shared" si="21"/>
        <v>1</v>
      </c>
      <c r="W109" s="2">
        <f t="shared" si="22"/>
        <v>1</v>
      </c>
      <c r="X109" s="2" t="str">
        <f t="shared" si="23"/>
        <v xml:space="preserve"> </v>
      </c>
      <c r="Y109" s="2">
        <f t="shared" si="24"/>
        <v>1</v>
      </c>
      <c r="Z109" s="2">
        <f t="shared" si="25"/>
        <v>1</v>
      </c>
      <c r="AA109" s="2" t="str">
        <f t="shared" si="26"/>
        <v xml:space="preserve"> </v>
      </c>
      <c r="AB109" s="2">
        <f t="shared" si="27"/>
        <v>1</v>
      </c>
      <c r="AC109" s="2" t="str">
        <f t="shared" si="28"/>
        <v xml:space="preserve"> </v>
      </c>
      <c r="AD109" s="2" t="str">
        <f t="shared" si="29"/>
        <v xml:space="preserve"> </v>
      </c>
      <c r="AF109" s="2">
        <f t="shared" si="30"/>
        <v>1</v>
      </c>
      <c r="AG109" s="2">
        <f t="shared" si="31"/>
        <v>1</v>
      </c>
      <c r="AH109" s="2" t="str">
        <f t="shared" si="32"/>
        <v xml:space="preserve"> </v>
      </c>
      <c r="AI109" s="2">
        <f t="shared" si="33"/>
        <v>1</v>
      </c>
      <c r="AJ109" s="2">
        <f t="shared" si="34"/>
        <v>1</v>
      </c>
      <c r="AK109" s="2" t="str">
        <f t="shared" si="35"/>
        <v xml:space="preserve"> </v>
      </c>
      <c r="AL109" s="2">
        <f t="shared" si="36"/>
        <v>1</v>
      </c>
      <c r="AM109" s="2" t="str">
        <f t="shared" si="37"/>
        <v xml:space="preserve"> </v>
      </c>
      <c r="AN109" s="2" t="str">
        <f t="shared" si="38"/>
        <v xml:space="preserve"> </v>
      </c>
    </row>
    <row r="110" spans="1:40" x14ac:dyDescent="0.25">
      <c r="A110">
        <v>1903</v>
      </c>
      <c r="B110" s="6">
        <v>171.40694503164556</v>
      </c>
      <c r="C110" s="6">
        <v>4.1681193542471329</v>
      </c>
      <c r="D110" s="6"/>
      <c r="E110" s="6">
        <v>3.405133171912833</v>
      </c>
      <c r="F110" s="6">
        <v>1.5733015494636469</v>
      </c>
      <c r="G110" s="6"/>
      <c r="H110" s="6">
        <v>62.189322800000006</v>
      </c>
      <c r="I110" s="6"/>
      <c r="J110" s="6"/>
      <c r="K110" s="6"/>
      <c r="L110" s="6">
        <v>143.61514000000003</v>
      </c>
      <c r="M110" s="6">
        <v>4.1057917769498227</v>
      </c>
      <c r="N110" s="6"/>
      <c r="O110" s="6">
        <v>2.6425181598062957</v>
      </c>
      <c r="P110" s="6">
        <v>0.92967818831942783</v>
      </c>
      <c r="Q110" s="6"/>
      <c r="R110" s="6">
        <v>72.995131000000001</v>
      </c>
      <c r="S110" s="4"/>
      <c r="V110" s="2">
        <f t="shared" si="21"/>
        <v>1</v>
      </c>
      <c r="W110" s="2">
        <f t="shared" si="22"/>
        <v>1</v>
      </c>
      <c r="X110" s="2" t="str">
        <f t="shared" si="23"/>
        <v xml:space="preserve"> </v>
      </c>
      <c r="Y110" s="2">
        <f t="shared" si="24"/>
        <v>1</v>
      </c>
      <c r="Z110" s="2">
        <f t="shared" si="25"/>
        <v>1</v>
      </c>
      <c r="AA110" s="2" t="str">
        <f t="shared" si="26"/>
        <v xml:space="preserve"> </v>
      </c>
      <c r="AB110" s="2">
        <f t="shared" si="27"/>
        <v>1</v>
      </c>
      <c r="AC110" s="2" t="str">
        <f t="shared" si="28"/>
        <v xml:space="preserve"> </v>
      </c>
      <c r="AD110" s="2" t="str">
        <f t="shared" si="29"/>
        <v xml:space="preserve"> </v>
      </c>
      <c r="AF110" s="2">
        <f t="shared" si="30"/>
        <v>1</v>
      </c>
      <c r="AG110" s="2">
        <f t="shared" si="31"/>
        <v>1</v>
      </c>
      <c r="AH110" s="2" t="str">
        <f t="shared" si="32"/>
        <v xml:space="preserve"> </v>
      </c>
      <c r="AI110" s="2">
        <f t="shared" si="33"/>
        <v>1</v>
      </c>
      <c r="AJ110" s="2">
        <f t="shared" si="34"/>
        <v>1</v>
      </c>
      <c r="AK110" s="2" t="str">
        <f t="shared" si="35"/>
        <v xml:space="preserve"> </v>
      </c>
      <c r="AL110" s="2">
        <f t="shared" si="36"/>
        <v>1</v>
      </c>
      <c r="AM110" s="2" t="str">
        <f t="shared" si="37"/>
        <v xml:space="preserve"> </v>
      </c>
      <c r="AN110" s="2" t="str">
        <f t="shared" si="38"/>
        <v xml:space="preserve"> </v>
      </c>
    </row>
    <row r="111" spans="1:40" x14ac:dyDescent="0.25">
      <c r="A111">
        <v>1904</v>
      </c>
      <c r="B111" s="6">
        <v>168.46108994475136</v>
      </c>
      <c r="C111" s="6">
        <v>3.8405373542639043</v>
      </c>
      <c r="D111" s="6"/>
      <c r="E111" s="6">
        <v>3.0416755468583494</v>
      </c>
      <c r="F111" s="6">
        <v>1.3356548286307153</v>
      </c>
      <c r="G111" s="6"/>
      <c r="H111" s="6">
        <v>64.695271600000012</v>
      </c>
      <c r="I111" s="6"/>
      <c r="J111" s="6"/>
      <c r="K111" s="6"/>
      <c r="L111" s="6">
        <v>192.23424</v>
      </c>
      <c r="M111" s="6">
        <v>4.4524731512337219</v>
      </c>
      <c r="N111" s="6"/>
      <c r="O111" s="6">
        <v>2.8295196946505734</v>
      </c>
      <c r="P111" s="6">
        <v>0.93018818422496241</v>
      </c>
      <c r="Q111" s="6"/>
      <c r="R111" s="6">
        <v>71.787364800000006</v>
      </c>
      <c r="S111" s="4"/>
      <c r="V111" s="2">
        <f t="shared" si="21"/>
        <v>1</v>
      </c>
      <c r="W111" s="2">
        <f t="shared" si="22"/>
        <v>1</v>
      </c>
      <c r="X111" s="2" t="str">
        <f t="shared" si="23"/>
        <v xml:space="preserve"> </v>
      </c>
      <c r="Y111" s="2">
        <f t="shared" si="24"/>
        <v>1</v>
      </c>
      <c r="Z111" s="2">
        <f t="shared" si="25"/>
        <v>1</v>
      </c>
      <c r="AA111" s="2" t="str">
        <f t="shared" si="26"/>
        <v xml:space="preserve"> </v>
      </c>
      <c r="AB111" s="2">
        <f t="shared" si="27"/>
        <v>1</v>
      </c>
      <c r="AC111" s="2" t="str">
        <f t="shared" si="28"/>
        <v xml:space="preserve"> </v>
      </c>
      <c r="AD111" s="2" t="str">
        <f t="shared" si="29"/>
        <v xml:space="preserve"> </v>
      </c>
      <c r="AF111" s="2">
        <f t="shared" si="30"/>
        <v>1</v>
      </c>
      <c r="AG111" s="2">
        <f t="shared" si="31"/>
        <v>1</v>
      </c>
      <c r="AH111" s="2" t="str">
        <f t="shared" si="32"/>
        <v xml:space="preserve"> </v>
      </c>
      <c r="AI111" s="2">
        <f t="shared" si="33"/>
        <v>1</v>
      </c>
      <c r="AJ111" s="2">
        <f t="shared" si="34"/>
        <v>1</v>
      </c>
      <c r="AK111" s="2" t="str">
        <f t="shared" si="35"/>
        <v xml:space="preserve"> </v>
      </c>
      <c r="AL111" s="2">
        <f t="shared" si="36"/>
        <v>1</v>
      </c>
      <c r="AM111" s="2" t="str">
        <f t="shared" si="37"/>
        <v xml:space="preserve"> </v>
      </c>
      <c r="AN111" s="2" t="str">
        <f t="shared" si="38"/>
        <v xml:space="preserve"> </v>
      </c>
    </row>
    <row r="112" spans="1:40" x14ac:dyDescent="0.25">
      <c r="A112">
        <v>1905</v>
      </c>
      <c r="B112" s="6">
        <v>172.45693309160308</v>
      </c>
      <c r="C112" s="6">
        <v>3.8578303965955798</v>
      </c>
      <c r="D112" s="6"/>
      <c r="E112" s="6">
        <v>2.6641487507263224</v>
      </c>
      <c r="F112" s="6">
        <v>1.9293523569063669</v>
      </c>
      <c r="G112" s="6"/>
      <c r="H112" s="6">
        <v>62.274560000000001</v>
      </c>
      <c r="I112" s="6"/>
      <c r="J112" s="6"/>
      <c r="K112" s="6"/>
      <c r="L112" s="6">
        <v>217.32946999999999</v>
      </c>
      <c r="M112" s="6">
        <v>5.2551959030710913</v>
      </c>
      <c r="N112" s="6"/>
      <c r="O112" s="6">
        <v>2.7373619988378852</v>
      </c>
      <c r="P112" s="6">
        <v>1.0480432556034587</v>
      </c>
      <c r="Q112" s="6"/>
      <c r="R112" s="6">
        <v>76.383639999999986</v>
      </c>
      <c r="S112" s="4"/>
      <c r="V112" s="2">
        <f t="shared" si="21"/>
        <v>1</v>
      </c>
      <c r="W112" s="2">
        <f t="shared" si="22"/>
        <v>1</v>
      </c>
      <c r="X112" s="2" t="str">
        <f t="shared" si="23"/>
        <v xml:space="preserve"> </v>
      </c>
      <c r="Y112" s="2">
        <f t="shared" si="24"/>
        <v>1</v>
      </c>
      <c r="Z112" s="2">
        <f t="shared" si="25"/>
        <v>1</v>
      </c>
      <c r="AA112" s="2" t="str">
        <f t="shared" si="26"/>
        <v xml:space="preserve"> </v>
      </c>
      <c r="AB112" s="2">
        <f t="shared" si="27"/>
        <v>1</v>
      </c>
      <c r="AC112" s="2" t="str">
        <f t="shared" si="28"/>
        <v xml:space="preserve"> </v>
      </c>
      <c r="AD112" s="2" t="str">
        <f t="shared" si="29"/>
        <v xml:space="preserve"> </v>
      </c>
      <c r="AF112" s="2">
        <f t="shared" si="30"/>
        <v>1</v>
      </c>
      <c r="AG112" s="2">
        <f t="shared" si="31"/>
        <v>1</v>
      </c>
      <c r="AH112" s="2" t="str">
        <f t="shared" si="32"/>
        <v xml:space="preserve"> </v>
      </c>
      <c r="AI112" s="2">
        <f t="shared" si="33"/>
        <v>1</v>
      </c>
      <c r="AJ112" s="2">
        <f t="shared" si="34"/>
        <v>1</v>
      </c>
      <c r="AK112" s="2" t="str">
        <f t="shared" si="35"/>
        <v xml:space="preserve"> </v>
      </c>
      <c r="AL112" s="2">
        <f t="shared" si="36"/>
        <v>1</v>
      </c>
      <c r="AM112" s="2" t="str">
        <f t="shared" si="37"/>
        <v xml:space="preserve"> </v>
      </c>
      <c r="AN112" s="2" t="str">
        <f t="shared" si="38"/>
        <v xml:space="preserve"> </v>
      </c>
    </row>
    <row r="113" spans="1:40" x14ac:dyDescent="0.25">
      <c r="A113">
        <v>1906</v>
      </c>
      <c r="B113" s="6">
        <v>199.17016346782989</v>
      </c>
      <c r="C113" s="6">
        <v>5.4480692107065094</v>
      </c>
      <c r="D113" s="6"/>
      <c r="E113" s="6">
        <v>2.5424580250014484</v>
      </c>
      <c r="F113" s="6">
        <v>1.9710750670877966</v>
      </c>
      <c r="G113" s="6"/>
      <c r="H113" s="6">
        <v>73.732159999999993</v>
      </c>
      <c r="I113" s="6"/>
      <c r="J113" s="6"/>
      <c r="K113" s="6"/>
      <c r="L113" s="6">
        <v>255.56783999999999</v>
      </c>
      <c r="M113" s="6">
        <v>4.5795333635457736</v>
      </c>
      <c r="N113" s="6"/>
      <c r="O113" s="6">
        <v>2.4976331703924104</v>
      </c>
      <c r="P113" s="6">
        <v>1.3298819729748985</v>
      </c>
      <c r="Q113" s="6"/>
      <c r="R113" s="6">
        <v>87.799480000000003</v>
      </c>
      <c r="S113" s="4"/>
      <c r="V113" s="2">
        <f t="shared" si="21"/>
        <v>1</v>
      </c>
      <c r="W113" s="2">
        <f t="shared" si="22"/>
        <v>1</v>
      </c>
      <c r="X113" s="2" t="str">
        <f t="shared" si="23"/>
        <v xml:space="preserve"> </v>
      </c>
      <c r="Y113" s="2">
        <f t="shared" si="24"/>
        <v>1</v>
      </c>
      <c r="Z113" s="2">
        <f t="shared" si="25"/>
        <v>1</v>
      </c>
      <c r="AA113" s="2" t="str">
        <f t="shared" si="26"/>
        <v xml:space="preserve"> </v>
      </c>
      <c r="AB113" s="2">
        <f t="shared" si="27"/>
        <v>1</v>
      </c>
      <c r="AC113" s="2" t="str">
        <f t="shared" si="28"/>
        <v xml:space="preserve"> </v>
      </c>
      <c r="AD113" s="2" t="str">
        <f t="shared" si="29"/>
        <v xml:space="preserve"> </v>
      </c>
      <c r="AF113" s="2">
        <f t="shared" si="30"/>
        <v>1</v>
      </c>
      <c r="AG113" s="2">
        <f t="shared" si="31"/>
        <v>1</v>
      </c>
      <c r="AH113" s="2" t="str">
        <f t="shared" si="32"/>
        <v xml:space="preserve"> </v>
      </c>
      <c r="AI113" s="2">
        <f t="shared" si="33"/>
        <v>1</v>
      </c>
      <c r="AJ113" s="2">
        <f t="shared" si="34"/>
        <v>1</v>
      </c>
      <c r="AK113" s="2" t="str">
        <f t="shared" si="35"/>
        <v xml:space="preserve"> </v>
      </c>
      <c r="AL113" s="2">
        <f t="shared" si="36"/>
        <v>1</v>
      </c>
      <c r="AM113" s="2" t="str">
        <f t="shared" si="37"/>
        <v xml:space="preserve"> </v>
      </c>
      <c r="AN113" s="2" t="str">
        <f t="shared" si="38"/>
        <v xml:space="preserve"> </v>
      </c>
    </row>
    <row r="114" spans="1:40" x14ac:dyDescent="0.25">
      <c r="A114">
        <v>1907</v>
      </c>
      <c r="B114" s="6">
        <v>234.53392474907065</v>
      </c>
      <c r="C114" s="6">
        <v>7.1586264381403266</v>
      </c>
      <c r="D114" s="6"/>
      <c r="E114" s="6">
        <v>2.4599405382447199</v>
      </c>
      <c r="F114" s="6">
        <v>2.0158421477019393</v>
      </c>
      <c r="G114" s="6"/>
      <c r="H114" s="6">
        <v>84.041669999999996</v>
      </c>
      <c r="I114" s="6"/>
      <c r="J114" s="6"/>
      <c r="K114" s="6"/>
      <c r="L114" s="6">
        <v>300.62973</v>
      </c>
      <c r="M114" s="6">
        <v>6.4362646664325709</v>
      </c>
      <c r="N114" s="6"/>
      <c r="O114" s="6">
        <v>2.3444920653307078</v>
      </c>
      <c r="P114" s="6">
        <v>1.2332210785941278</v>
      </c>
      <c r="Q114" s="6"/>
      <c r="R114" s="6">
        <v>97.643789999999996</v>
      </c>
      <c r="S114" s="4"/>
      <c r="V114" s="2">
        <f t="shared" si="21"/>
        <v>1</v>
      </c>
      <c r="W114" s="2">
        <f t="shared" si="22"/>
        <v>1</v>
      </c>
      <c r="X114" s="2" t="str">
        <f t="shared" si="23"/>
        <v xml:space="preserve"> </v>
      </c>
      <c r="Y114" s="2">
        <f t="shared" si="24"/>
        <v>1</v>
      </c>
      <c r="Z114" s="2">
        <f t="shared" si="25"/>
        <v>1</v>
      </c>
      <c r="AA114" s="2" t="str">
        <f t="shared" si="26"/>
        <v xml:space="preserve"> </v>
      </c>
      <c r="AB114" s="2">
        <f t="shared" si="27"/>
        <v>1</v>
      </c>
      <c r="AC114" s="2" t="str">
        <f t="shared" si="28"/>
        <v xml:space="preserve"> </v>
      </c>
      <c r="AD114" s="2" t="str">
        <f t="shared" si="29"/>
        <v xml:space="preserve"> </v>
      </c>
      <c r="AF114" s="2">
        <f t="shared" si="30"/>
        <v>1</v>
      </c>
      <c r="AG114" s="2">
        <f t="shared" si="31"/>
        <v>1</v>
      </c>
      <c r="AH114" s="2" t="str">
        <f t="shared" si="32"/>
        <v xml:space="preserve"> </v>
      </c>
      <c r="AI114" s="2">
        <f t="shared" si="33"/>
        <v>1</v>
      </c>
      <c r="AJ114" s="2">
        <f t="shared" si="34"/>
        <v>1</v>
      </c>
      <c r="AK114" s="2" t="str">
        <f t="shared" si="35"/>
        <v xml:space="preserve"> </v>
      </c>
      <c r="AL114" s="2">
        <f t="shared" si="36"/>
        <v>1</v>
      </c>
      <c r="AM114" s="2" t="str">
        <f t="shared" si="37"/>
        <v xml:space="preserve"> </v>
      </c>
      <c r="AN114" s="2" t="str">
        <f t="shared" si="38"/>
        <v xml:space="preserve"> </v>
      </c>
    </row>
    <row r="115" spans="1:40" x14ac:dyDescent="0.25">
      <c r="A115">
        <v>1908</v>
      </c>
      <c r="B115" s="6">
        <v>231.44854931144067</v>
      </c>
      <c r="C115" s="6">
        <v>5.711073767321901</v>
      </c>
      <c r="D115" s="6"/>
      <c r="E115" s="6">
        <v>2.5469764924218992</v>
      </c>
      <c r="F115" s="6">
        <v>1.7640888719366838</v>
      </c>
      <c r="G115" s="6"/>
      <c r="H115" s="6">
        <v>85.147999999999996</v>
      </c>
      <c r="I115" s="6"/>
      <c r="J115" s="6"/>
      <c r="K115" s="6"/>
      <c r="L115" s="6">
        <v>243.29743000000002</v>
      </c>
      <c r="M115" s="6">
        <v>6.4555687677626432</v>
      </c>
      <c r="N115" s="6"/>
      <c r="O115" s="6">
        <v>2.5626353232291996</v>
      </c>
      <c r="P115" s="6">
        <v>2.0739963764661007</v>
      </c>
      <c r="Q115" s="6"/>
      <c r="R115" s="6">
        <v>79.309280000000001</v>
      </c>
      <c r="S115" s="4"/>
      <c r="V115" s="2">
        <f t="shared" si="21"/>
        <v>1</v>
      </c>
      <c r="W115" s="2">
        <f t="shared" si="22"/>
        <v>1</v>
      </c>
      <c r="X115" s="2" t="str">
        <f t="shared" si="23"/>
        <v xml:space="preserve"> </v>
      </c>
      <c r="Y115" s="2">
        <f t="shared" si="24"/>
        <v>1</v>
      </c>
      <c r="Z115" s="2">
        <f t="shared" si="25"/>
        <v>1</v>
      </c>
      <c r="AA115" s="2" t="str">
        <f t="shared" si="26"/>
        <v xml:space="preserve"> </v>
      </c>
      <c r="AB115" s="2">
        <f t="shared" si="27"/>
        <v>1</v>
      </c>
      <c r="AC115" s="2" t="str">
        <f t="shared" si="28"/>
        <v xml:space="preserve"> </v>
      </c>
      <c r="AD115" s="2" t="str">
        <f t="shared" si="29"/>
        <v xml:space="preserve"> </v>
      </c>
      <c r="AF115" s="2">
        <f t="shared" si="30"/>
        <v>1</v>
      </c>
      <c r="AG115" s="2">
        <f t="shared" si="31"/>
        <v>1</v>
      </c>
      <c r="AH115" s="2" t="str">
        <f t="shared" si="32"/>
        <v xml:space="preserve"> </v>
      </c>
      <c r="AI115" s="2">
        <f t="shared" si="33"/>
        <v>1</v>
      </c>
      <c r="AJ115" s="2">
        <f t="shared" si="34"/>
        <v>1</v>
      </c>
      <c r="AK115" s="2" t="str">
        <f t="shared" si="35"/>
        <v xml:space="preserve"> </v>
      </c>
      <c r="AL115" s="2">
        <f t="shared" si="36"/>
        <v>1</v>
      </c>
      <c r="AM115" s="2" t="str">
        <f t="shared" si="37"/>
        <v xml:space="preserve"> </v>
      </c>
      <c r="AN115" s="2" t="str">
        <f t="shared" si="38"/>
        <v xml:space="preserve"> </v>
      </c>
    </row>
    <row r="116" spans="1:40" x14ac:dyDescent="0.25">
      <c r="A116">
        <v>1909</v>
      </c>
      <c r="B116" s="6">
        <v>237.31458852105777</v>
      </c>
      <c r="C116" s="6">
        <v>5.8884884719365864</v>
      </c>
      <c r="D116" s="6"/>
      <c r="E116" s="6">
        <v>2.711707185096432</v>
      </c>
      <c r="F116" s="6">
        <v>2.2894209672803587</v>
      </c>
      <c r="G116" s="6"/>
      <c r="H116" s="6">
        <v>76.504529999999988</v>
      </c>
      <c r="I116" s="6"/>
      <c r="J116" s="6"/>
      <c r="K116" s="6"/>
      <c r="L116" s="6">
        <v>274.76651999999996</v>
      </c>
      <c r="M116" s="6">
        <v>7.7467096600560863</v>
      </c>
      <c r="N116" s="6"/>
      <c r="O116" s="6">
        <v>2.4670505932825724</v>
      </c>
      <c r="P116" s="6">
        <v>2.6948392635695892</v>
      </c>
      <c r="Q116" s="6"/>
      <c r="R116" s="6">
        <v>95.996129999999994</v>
      </c>
      <c r="S116" s="4"/>
      <c r="V116" s="2">
        <f t="shared" si="21"/>
        <v>1</v>
      </c>
      <c r="W116" s="2">
        <f t="shared" si="22"/>
        <v>1</v>
      </c>
      <c r="X116" s="2" t="str">
        <f t="shared" si="23"/>
        <v xml:space="preserve"> </v>
      </c>
      <c r="Y116" s="2">
        <f t="shared" si="24"/>
        <v>1</v>
      </c>
      <c r="Z116" s="2">
        <f t="shared" si="25"/>
        <v>1</v>
      </c>
      <c r="AA116" s="2" t="str">
        <f t="shared" si="26"/>
        <v xml:space="preserve"> </v>
      </c>
      <c r="AB116" s="2">
        <f t="shared" si="27"/>
        <v>1</v>
      </c>
      <c r="AC116" s="2" t="str">
        <f t="shared" si="28"/>
        <v xml:space="preserve"> </v>
      </c>
      <c r="AD116" s="2" t="str">
        <f t="shared" si="29"/>
        <v xml:space="preserve"> </v>
      </c>
      <c r="AF116" s="2">
        <f t="shared" si="30"/>
        <v>1</v>
      </c>
      <c r="AG116" s="2">
        <f t="shared" si="31"/>
        <v>1</v>
      </c>
      <c r="AH116" s="2" t="str">
        <f t="shared" si="32"/>
        <v xml:space="preserve"> </v>
      </c>
      <c r="AI116" s="2">
        <f t="shared" si="33"/>
        <v>1</v>
      </c>
      <c r="AJ116" s="2">
        <f t="shared" si="34"/>
        <v>1</v>
      </c>
      <c r="AK116" s="2" t="str">
        <f t="shared" si="35"/>
        <v xml:space="preserve"> </v>
      </c>
      <c r="AL116" s="2">
        <f t="shared" si="36"/>
        <v>1</v>
      </c>
      <c r="AM116" s="2" t="str">
        <f t="shared" si="37"/>
        <v xml:space="preserve"> </v>
      </c>
      <c r="AN116" s="2" t="str">
        <f t="shared" si="38"/>
        <v xml:space="preserve"> </v>
      </c>
    </row>
    <row r="117" spans="1:40" x14ac:dyDescent="0.25">
      <c r="A117">
        <v>1910</v>
      </c>
      <c r="B117" s="6">
        <v>276.72858394160585</v>
      </c>
      <c r="C117" s="6">
        <v>7.3357852635139169</v>
      </c>
      <c r="D117" s="6"/>
      <c r="E117" s="6">
        <v>3.5446168112358247</v>
      </c>
      <c r="F117" s="6">
        <v>2.1193503833881033</v>
      </c>
      <c r="G117" s="6"/>
      <c r="H117" s="6">
        <v>83.157300000000006</v>
      </c>
      <c r="I117" s="6"/>
      <c r="J117" s="6"/>
      <c r="K117" s="6"/>
      <c r="L117" s="6">
        <v>339.9966</v>
      </c>
      <c r="M117" s="6">
        <v>8.5906005102762677</v>
      </c>
      <c r="N117" s="6"/>
      <c r="O117" s="6">
        <v>3.0452253540173482</v>
      </c>
      <c r="P117" s="6">
        <v>4.3339524694003915</v>
      </c>
      <c r="Q117" s="6"/>
      <c r="R117" s="6">
        <v>107.9586</v>
      </c>
      <c r="S117" s="4"/>
      <c r="V117" s="2">
        <f t="shared" si="21"/>
        <v>1</v>
      </c>
      <c r="W117" s="2">
        <f t="shared" si="22"/>
        <v>1</v>
      </c>
      <c r="X117" s="2" t="str">
        <f t="shared" si="23"/>
        <v xml:space="preserve"> </v>
      </c>
      <c r="Y117" s="2">
        <f t="shared" si="24"/>
        <v>1</v>
      </c>
      <c r="Z117" s="2">
        <f t="shared" si="25"/>
        <v>1</v>
      </c>
      <c r="AA117" s="2" t="str">
        <f t="shared" si="26"/>
        <v xml:space="preserve"> </v>
      </c>
      <c r="AB117" s="2">
        <f t="shared" si="27"/>
        <v>1</v>
      </c>
      <c r="AC117" s="2" t="str">
        <f t="shared" si="28"/>
        <v xml:space="preserve"> </v>
      </c>
      <c r="AD117" s="2" t="str">
        <f t="shared" si="29"/>
        <v xml:space="preserve"> </v>
      </c>
      <c r="AF117" s="2">
        <f t="shared" si="30"/>
        <v>1</v>
      </c>
      <c r="AG117" s="2">
        <f t="shared" si="31"/>
        <v>1</v>
      </c>
      <c r="AH117" s="2" t="str">
        <f t="shared" si="32"/>
        <v xml:space="preserve"> </v>
      </c>
      <c r="AI117" s="2">
        <f t="shared" si="33"/>
        <v>1</v>
      </c>
      <c r="AJ117" s="2">
        <f t="shared" si="34"/>
        <v>1</v>
      </c>
      <c r="AK117" s="2" t="str">
        <f t="shared" si="35"/>
        <v xml:space="preserve"> </v>
      </c>
      <c r="AL117" s="2">
        <f t="shared" si="36"/>
        <v>1</v>
      </c>
      <c r="AM117" s="2" t="str">
        <f t="shared" si="37"/>
        <v xml:space="preserve"> </v>
      </c>
      <c r="AN117" s="2" t="str">
        <f t="shared" si="38"/>
        <v xml:space="preserve"> </v>
      </c>
    </row>
    <row r="118" spans="1:40" x14ac:dyDescent="0.25">
      <c r="A118">
        <v>1911</v>
      </c>
      <c r="B118" s="6">
        <v>310.65153546961324</v>
      </c>
      <c r="C118" s="6">
        <v>6.1772434204807034</v>
      </c>
      <c r="D118" s="6"/>
      <c r="E118" s="6">
        <v>4.311687810897312</v>
      </c>
      <c r="F118" s="6">
        <v>2.7594081545268563</v>
      </c>
      <c r="G118" s="6"/>
      <c r="H118" s="6">
        <v>95.301080000000013</v>
      </c>
      <c r="I118" s="6"/>
      <c r="J118" s="6"/>
      <c r="K118" s="6"/>
      <c r="L118" s="6">
        <v>329.42424000000005</v>
      </c>
      <c r="M118" s="6">
        <v>10.227522619374973</v>
      </c>
      <c r="N118" s="6"/>
      <c r="O118" s="6">
        <v>3.9752438977364744</v>
      </c>
      <c r="P118" s="6">
        <v>3.9012322184690036</v>
      </c>
      <c r="Q118" s="6"/>
      <c r="R118" s="6">
        <v>92.383700000000005</v>
      </c>
      <c r="S118" s="4"/>
      <c r="V118" s="2">
        <f t="shared" ref="V118:V145" si="39">+IF(B118&gt;0,1," ")</f>
        <v>1</v>
      </c>
      <c r="W118" s="2">
        <f t="shared" si="22"/>
        <v>1</v>
      </c>
      <c r="X118" s="2" t="str">
        <f t="shared" si="23"/>
        <v xml:space="preserve"> </v>
      </c>
      <c r="Y118" s="2">
        <f t="shared" si="24"/>
        <v>1</v>
      </c>
      <c r="Z118" s="2">
        <f t="shared" si="25"/>
        <v>1</v>
      </c>
      <c r="AA118" s="2" t="str">
        <f t="shared" si="26"/>
        <v xml:space="preserve"> </v>
      </c>
      <c r="AB118" s="2">
        <f t="shared" si="27"/>
        <v>1</v>
      </c>
      <c r="AC118" s="2" t="str">
        <f t="shared" si="28"/>
        <v xml:space="preserve"> </v>
      </c>
      <c r="AD118" s="2" t="str">
        <f t="shared" si="29"/>
        <v xml:space="preserve"> </v>
      </c>
      <c r="AF118" s="2">
        <f t="shared" si="30"/>
        <v>1</v>
      </c>
      <c r="AG118" s="2">
        <f t="shared" si="31"/>
        <v>1</v>
      </c>
      <c r="AH118" s="2" t="str">
        <f t="shared" si="32"/>
        <v xml:space="preserve"> </v>
      </c>
      <c r="AI118" s="2">
        <f t="shared" si="33"/>
        <v>1</v>
      </c>
      <c r="AJ118" s="2">
        <f t="shared" si="34"/>
        <v>1</v>
      </c>
      <c r="AK118" s="2" t="str">
        <f t="shared" si="35"/>
        <v xml:space="preserve"> </v>
      </c>
      <c r="AL118" s="2">
        <f t="shared" si="36"/>
        <v>1</v>
      </c>
      <c r="AM118" s="2" t="str">
        <f t="shared" si="37"/>
        <v xml:space="preserve"> </v>
      </c>
      <c r="AN118" s="2" t="str">
        <f t="shared" si="38"/>
        <v xml:space="preserve"> </v>
      </c>
    </row>
    <row r="119" spans="1:40" x14ac:dyDescent="0.25">
      <c r="A119">
        <v>1912</v>
      </c>
      <c r="B119" s="6">
        <v>368.10372307692302</v>
      </c>
      <c r="C119" s="6">
        <v>8.4307384980890951</v>
      </c>
      <c r="D119" s="6"/>
      <c r="E119" s="6">
        <v>4.4545735475896162</v>
      </c>
      <c r="F119" s="6">
        <v>3.2599643069601432</v>
      </c>
      <c r="G119" s="6"/>
      <c r="H119" s="6">
        <v>102.18180000000001</v>
      </c>
      <c r="I119" s="6"/>
      <c r="J119" s="6"/>
      <c r="K119" s="6"/>
      <c r="L119" s="6">
        <v>325.52267999999998</v>
      </c>
      <c r="M119" s="6">
        <v>8.9574007388653971</v>
      </c>
      <c r="N119" s="6"/>
      <c r="O119" s="6">
        <v>4.2247373300370823</v>
      </c>
      <c r="P119" s="6">
        <v>4.0928019036287928</v>
      </c>
      <c r="Q119" s="6"/>
      <c r="R119" s="6">
        <v>106.07444000000001</v>
      </c>
      <c r="S119" s="4"/>
      <c r="V119" s="2">
        <f t="shared" si="39"/>
        <v>1</v>
      </c>
      <c r="W119" s="2">
        <f t="shared" si="22"/>
        <v>1</v>
      </c>
      <c r="X119" s="2" t="str">
        <f t="shared" si="23"/>
        <v xml:space="preserve"> </v>
      </c>
      <c r="Y119" s="2">
        <f t="shared" si="24"/>
        <v>1</v>
      </c>
      <c r="Z119" s="2">
        <f t="shared" si="25"/>
        <v>1</v>
      </c>
      <c r="AA119" s="2" t="str">
        <f t="shared" si="26"/>
        <v xml:space="preserve"> </v>
      </c>
      <c r="AB119" s="2">
        <f t="shared" si="27"/>
        <v>1</v>
      </c>
      <c r="AC119" s="2" t="str">
        <f t="shared" si="28"/>
        <v xml:space="preserve"> </v>
      </c>
      <c r="AD119" s="2" t="str">
        <f t="shared" si="29"/>
        <v xml:space="preserve"> </v>
      </c>
      <c r="AF119" s="2">
        <f t="shared" si="30"/>
        <v>1</v>
      </c>
      <c r="AG119" s="2">
        <f t="shared" si="31"/>
        <v>1</v>
      </c>
      <c r="AH119" s="2" t="str">
        <f t="shared" si="32"/>
        <v xml:space="preserve"> </v>
      </c>
      <c r="AI119" s="2">
        <f t="shared" si="33"/>
        <v>1</v>
      </c>
      <c r="AJ119" s="2">
        <f t="shared" si="34"/>
        <v>1</v>
      </c>
      <c r="AK119" s="2" t="str">
        <f t="shared" si="35"/>
        <v xml:space="preserve"> </v>
      </c>
      <c r="AL119" s="2">
        <f t="shared" si="36"/>
        <v>1</v>
      </c>
      <c r="AM119" s="2" t="str">
        <f t="shared" si="37"/>
        <v xml:space="preserve"> </v>
      </c>
      <c r="AN119" s="2" t="str">
        <f t="shared" si="38"/>
        <v xml:space="preserve"> </v>
      </c>
    </row>
    <row r="120" spans="1:40" x14ac:dyDescent="0.25">
      <c r="A120">
        <v>1913</v>
      </c>
      <c r="B120" s="6">
        <v>373.6906278688524</v>
      </c>
      <c r="C120" s="6">
        <v>8.2046469536082256</v>
      </c>
      <c r="D120" s="6"/>
      <c r="E120" s="6">
        <v>5.1612778689315713</v>
      </c>
      <c r="F120" s="6">
        <v>3.7771475655901132</v>
      </c>
      <c r="G120" s="6"/>
      <c r="H120" s="6">
        <v>113.32420999999999</v>
      </c>
      <c r="I120" s="6"/>
      <c r="J120" s="6"/>
      <c r="K120" s="6"/>
      <c r="L120" s="6">
        <v>366.03</v>
      </c>
      <c r="M120" s="6">
        <v>11.751643510594711</v>
      </c>
      <c r="N120" s="6"/>
      <c r="O120" s="6">
        <v>5.2877135411639813</v>
      </c>
      <c r="P120" s="6">
        <v>5.1225821528009003</v>
      </c>
      <c r="Q120" s="6"/>
      <c r="R120" s="6">
        <v>111.86509999999998</v>
      </c>
      <c r="S120" s="4"/>
      <c r="V120" s="2">
        <f t="shared" si="39"/>
        <v>1</v>
      </c>
      <c r="W120" s="2">
        <f t="shared" si="22"/>
        <v>1</v>
      </c>
      <c r="X120" s="2" t="str">
        <f t="shared" si="23"/>
        <v xml:space="preserve"> </v>
      </c>
      <c r="Y120" s="2">
        <f t="shared" si="24"/>
        <v>1</v>
      </c>
      <c r="Z120" s="2">
        <f t="shared" si="25"/>
        <v>1</v>
      </c>
      <c r="AA120" s="2" t="str">
        <f t="shared" si="26"/>
        <v xml:space="preserve"> </v>
      </c>
      <c r="AB120" s="2">
        <f t="shared" si="27"/>
        <v>1</v>
      </c>
      <c r="AC120" s="2" t="str">
        <f t="shared" si="28"/>
        <v xml:space="preserve"> </v>
      </c>
      <c r="AD120" s="2" t="str">
        <f t="shared" si="29"/>
        <v xml:space="preserve"> </v>
      </c>
      <c r="AF120" s="2">
        <f t="shared" si="30"/>
        <v>1</v>
      </c>
      <c r="AG120" s="2">
        <f t="shared" si="31"/>
        <v>1</v>
      </c>
      <c r="AH120" s="2" t="str">
        <f t="shared" si="32"/>
        <v xml:space="preserve"> </v>
      </c>
      <c r="AI120" s="2">
        <f t="shared" si="33"/>
        <v>1</v>
      </c>
      <c r="AJ120" s="2">
        <f t="shared" si="34"/>
        <v>1</v>
      </c>
      <c r="AK120" s="2" t="str">
        <f t="shared" si="35"/>
        <v xml:space="preserve"> </v>
      </c>
      <c r="AL120" s="2">
        <f t="shared" si="36"/>
        <v>1</v>
      </c>
      <c r="AM120" s="2" t="str">
        <f t="shared" si="37"/>
        <v xml:space="preserve"> </v>
      </c>
      <c r="AN120" s="2" t="str">
        <f t="shared" si="38"/>
        <v xml:space="preserve"> </v>
      </c>
    </row>
    <row r="121" spans="1:40" x14ac:dyDescent="0.25">
      <c r="A121">
        <v>1914</v>
      </c>
      <c r="B121" s="6">
        <v>343.33329731177133</v>
      </c>
      <c r="C121" s="6">
        <v>8.5548375118964675</v>
      </c>
      <c r="D121" s="6"/>
      <c r="E121" s="6">
        <v>4.8736370716510908</v>
      </c>
      <c r="F121" s="6">
        <v>3.5666450960849647</v>
      </c>
      <c r="G121" s="6"/>
      <c r="H121" s="6">
        <v>106.15728000000001</v>
      </c>
      <c r="I121" s="6"/>
      <c r="J121" s="6"/>
      <c r="K121" s="6"/>
      <c r="L121" s="6">
        <v>317.36295000000001</v>
      </c>
      <c r="M121" s="6">
        <v>11.599680060481013</v>
      </c>
      <c r="N121" s="6"/>
      <c r="O121" s="6">
        <v>4.6703660436137069</v>
      </c>
      <c r="P121" s="6">
        <v>4.5245139616236623</v>
      </c>
      <c r="Q121" s="6"/>
      <c r="R121" s="6">
        <v>127.09656000000003</v>
      </c>
      <c r="S121" s="4"/>
      <c r="V121" s="2">
        <f t="shared" si="39"/>
        <v>1</v>
      </c>
      <c r="W121" s="2">
        <f t="shared" si="22"/>
        <v>1</v>
      </c>
      <c r="X121" s="2" t="str">
        <f t="shared" si="23"/>
        <v xml:space="preserve"> </v>
      </c>
      <c r="Y121" s="2">
        <f t="shared" si="24"/>
        <v>1</v>
      </c>
      <c r="Z121" s="2">
        <f t="shared" si="25"/>
        <v>1</v>
      </c>
      <c r="AA121" s="2" t="str">
        <f t="shared" si="26"/>
        <v xml:space="preserve"> </v>
      </c>
      <c r="AB121" s="2">
        <f t="shared" si="27"/>
        <v>1</v>
      </c>
      <c r="AC121" s="2" t="str">
        <f t="shared" si="28"/>
        <v xml:space="preserve"> </v>
      </c>
      <c r="AD121" s="2" t="str">
        <f t="shared" si="29"/>
        <v xml:space="preserve"> </v>
      </c>
      <c r="AF121" s="2">
        <f t="shared" si="30"/>
        <v>1</v>
      </c>
      <c r="AG121" s="2">
        <f t="shared" si="31"/>
        <v>1</v>
      </c>
      <c r="AH121" s="2" t="str">
        <f t="shared" si="32"/>
        <v xml:space="preserve"> </v>
      </c>
      <c r="AI121" s="2">
        <f t="shared" si="33"/>
        <v>1</v>
      </c>
      <c r="AJ121" s="2">
        <f t="shared" si="34"/>
        <v>1</v>
      </c>
      <c r="AK121" s="2" t="str">
        <f t="shared" si="35"/>
        <v xml:space="preserve"> </v>
      </c>
      <c r="AL121" s="2">
        <f t="shared" si="36"/>
        <v>1</v>
      </c>
      <c r="AM121" s="2" t="str">
        <f t="shared" si="37"/>
        <v xml:space="preserve"> </v>
      </c>
      <c r="AN121" s="2" t="str">
        <f t="shared" si="38"/>
        <v xml:space="preserve"> </v>
      </c>
    </row>
    <row r="122" spans="1:40" x14ac:dyDescent="0.25">
      <c r="A122">
        <v>1915</v>
      </c>
      <c r="B122" s="6">
        <v>298.972645</v>
      </c>
      <c r="C122" s="6">
        <v>5.4129940905072962</v>
      </c>
      <c r="D122" s="6"/>
      <c r="E122" s="6">
        <v>3.0258428889269213</v>
      </c>
      <c r="F122" s="6">
        <v>2.2143847690444898</v>
      </c>
      <c r="G122" s="6"/>
      <c r="H122" s="6">
        <v>103.292</v>
      </c>
      <c r="I122" s="6"/>
      <c r="J122" s="6"/>
      <c r="K122" s="6"/>
      <c r="L122" s="6">
        <v>330.80223293172747</v>
      </c>
      <c r="M122" s="6">
        <v>8.8227648199929583</v>
      </c>
      <c r="N122" s="6"/>
      <c r="O122" s="6">
        <v>4.0609276056820125</v>
      </c>
      <c r="P122" s="6">
        <v>3.9341078359747801</v>
      </c>
      <c r="Q122" s="6"/>
      <c r="R122" s="6">
        <v>150.892</v>
      </c>
      <c r="S122" s="4"/>
      <c r="V122" s="2">
        <f t="shared" si="39"/>
        <v>1</v>
      </c>
      <c r="W122" s="2">
        <f t="shared" si="22"/>
        <v>1</v>
      </c>
      <c r="X122" s="2" t="str">
        <f t="shared" si="23"/>
        <v xml:space="preserve"> </v>
      </c>
      <c r="Y122" s="2">
        <f t="shared" si="24"/>
        <v>1</v>
      </c>
      <c r="Z122" s="2">
        <f t="shared" si="25"/>
        <v>1</v>
      </c>
      <c r="AA122" s="2" t="str">
        <f t="shared" si="26"/>
        <v xml:space="preserve"> </v>
      </c>
      <c r="AB122" s="2">
        <f t="shared" si="27"/>
        <v>1</v>
      </c>
      <c r="AC122" s="2" t="str">
        <f t="shared" si="28"/>
        <v xml:space="preserve"> </v>
      </c>
      <c r="AD122" s="2" t="str">
        <f t="shared" si="29"/>
        <v xml:space="preserve"> </v>
      </c>
      <c r="AF122" s="2">
        <f t="shared" si="30"/>
        <v>1</v>
      </c>
      <c r="AG122" s="2">
        <f t="shared" si="31"/>
        <v>1</v>
      </c>
      <c r="AH122" s="2" t="str">
        <f t="shared" si="32"/>
        <v xml:space="preserve"> </v>
      </c>
      <c r="AI122" s="2">
        <f t="shared" si="33"/>
        <v>1</v>
      </c>
      <c r="AJ122" s="2">
        <f t="shared" si="34"/>
        <v>1</v>
      </c>
      <c r="AK122" s="2" t="str">
        <f t="shared" si="35"/>
        <v xml:space="preserve"> </v>
      </c>
      <c r="AL122" s="2">
        <f t="shared" si="36"/>
        <v>1</v>
      </c>
      <c r="AM122" s="2" t="str">
        <f t="shared" si="37"/>
        <v xml:space="preserve"> </v>
      </c>
      <c r="AN122" s="2" t="str">
        <f t="shared" si="38"/>
        <v xml:space="preserve"> </v>
      </c>
    </row>
    <row r="123" spans="1:40" x14ac:dyDescent="0.25">
      <c r="A123">
        <v>1916</v>
      </c>
      <c r="B123" s="6">
        <v>423.69148500000006</v>
      </c>
      <c r="C123" s="6">
        <v>6.3703672188728513</v>
      </c>
      <c r="D123" s="6"/>
      <c r="E123" s="6">
        <v>4.1706063720452207</v>
      </c>
      <c r="F123" s="6">
        <v>3.0521502824001652</v>
      </c>
      <c r="G123" s="6"/>
      <c r="H123" s="6">
        <v>125.92799999999998</v>
      </c>
      <c r="I123" s="6"/>
      <c r="J123" s="6"/>
      <c r="K123" s="6"/>
      <c r="L123" s="6">
        <v>359.74162024192725</v>
      </c>
      <c r="M123" s="6">
        <v>12.008228624749846</v>
      </c>
      <c r="N123" s="6"/>
      <c r="O123" s="6">
        <v>5.2435765673175734</v>
      </c>
      <c r="P123" s="6">
        <v>5.0798235440479624</v>
      </c>
      <c r="Q123" s="6"/>
      <c r="R123" s="6">
        <v>158.84099999999998</v>
      </c>
      <c r="S123" s="4"/>
      <c r="V123" s="2">
        <f t="shared" si="39"/>
        <v>1</v>
      </c>
      <c r="W123" s="2">
        <f t="shared" si="22"/>
        <v>1</v>
      </c>
      <c r="X123" s="2" t="str">
        <f t="shared" si="23"/>
        <v xml:space="preserve"> </v>
      </c>
      <c r="Y123" s="2">
        <f t="shared" si="24"/>
        <v>1</v>
      </c>
      <c r="Z123" s="2">
        <f t="shared" si="25"/>
        <v>1</v>
      </c>
      <c r="AA123" s="2" t="str">
        <f t="shared" si="26"/>
        <v xml:space="preserve"> </v>
      </c>
      <c r="AB123" s="2">
        <f t="shared" si="27"/>
        <v>1</v>
      </c>
      <c r="AC123" s="2" t="str">
        <f t="shared" si="28"/>
        <v xml:space="preserve"> </v>
      </c>
      <c r="AD123" s="2" t="str">
        <f t="shared" si="29"/>
        <v xml:space="preserve"> </v>
      </c>
      <c r="AF123" s="2">
        <f t="shared" si="30"/>
        <v>1</v>
      </c>
      <c r="AG123" s="2">
        <f t="shared" si="31"/>
        <v>1</v>
      </c>
      <c r="AH123" s="2" t="str">
        <f t="shared" si="32"/>
        <v xml:space="preserve"> </v>
      </c>
      <c r="AI123" s="2">
        <f t="shared" si="33"/>
        <v>1</v>
      </c>
      <c r="AJ123" s="2">
        <f t="shared" si="34"/>
        <v>1</v>
      </c>
      <c r="AK123" s="2" t="str">
        <f t="shared" si="35"/>
        <v xml:space="preserve"> </v>
      </c>
      <c r="AL123" s="2">
        <f t="shared" si="36"/>
        <v>1</v>
      </c>
      <c r="AM123" s="2" t="str">
        <f t="shared" si="37"/>
        <v xml:space="preserve"> </v>
      </c>
      <c r="AN123" s="2" t="str">
        <f t="shared" si="38"/>
        <v xml:space="preserve"> </v>
      </c>
    </row>
    <row r="124" spans="1:40" x14ac:dyDescent="0.25">
      <c r="A124">
        <v>1917</v>
      </c>
      <c r="B124" s="6">
        <v>481.52915999999999</v>
      </c>
      <c r="C124" s="6">
        <v>7.1347027446126221</v>
      </c>
      <c r="D124" s="6"/>
      <c r="E124" s="6">
        <v>4.5071753587679382</v>
      </c>
      <c r="F124" s="6">
        <v>3.298459580433756</v>
      </c>
      <c r="G124" s="6"/>
      <c r="H124" s="6">
        <v>99.483999999999995</v>
      </c>
      <c r="I124" s="6"/>
      <c r="J124" s="6"/>
      <c r="K124" s="6"/>
      <c r="L124" s="6">
        <v>319.61782465914189</v>
      </c>
      <c r="M124" s="6">
        <v>14.040905104462459</v>
      </c>
      <c r="N124" s="6"/>
      <c r="O124" s="6">
        <v>5.5736786839341956</v>
      </c>
      <c r="P124" s="6">
        <v>5.3996168153774597</v>
      </c>
      <c r="Q124" s="6"/>
      <c r="R124" s="6">
        <v>148.036</v>
      </c>
      <c r="S124" s="4"/>
      <c r="V124" s="2">
        <f t="shared" si="39"/>
        <v>1</v>
      </c>
      <c r="W124" s="2">
        <f t="shared" si="22"/>
        <v>1</v>
      </c>
      <c r="X124" s="2" t="str">
        <f t="shared" si="23"/>
        <v xml:space="preserve"> </v>
      </c>
      <c r="Y124" s="2">
        <f t="shared" si="24"/>
        <v>1</v>
      </c>
      <c r="Z124" s="2">
        <f t="shared" si="25"/>
        <v>1</v>
      </c>
      <c r="AA124" s="2" t="str">
        <f t="shared" si="26"/>
        <v xml:space="preserve"> </v>
      </c>
      <c r="AB124" s="2">
        <f t="shared" si="27"/>
        <v>1</v>
      </c>
      <c r="AC124" s="2" t="str">
        <f t="shared" si="28"/>
        <v xml:space="preserve"> </v>
      </c>
      <c r="AD124" s="2" t="str">
        <f t="shared" si="29"/>
        <v xml:space="preserve"> </v>
      </c>
      <c r="AF124" s="2">
        <f t="shared" si="30"/>
        <v>1</v>
      </c>
      <c r="AG124" s="2">
        <f t="shared" si="31"/>
        <v>1</v>
      </c>
      <c r="AH124" s="2" t="str">
        <f t="shared" si="32"/>
        <v xml:space="preserve"> </v>
      </c>
      <c r="AI124" s="2">
        <f t="shared" si="33"/>
        <v>1</v>
      </c>
      <c r="AJ124" s="2">
        <f t="shared" si="34"/>
        <v>1</v>
      </c>
      <c r="AK124" s="2" t="str">
        <f t="shared" si="35"/>
        <v xml:space="preserve"> </v>
      </c>
      <c r="AL124" s="2">
        <f t="shared" si="36"/>
        <v>1</v>
      </c>
      <c r="AM124" s="2" t="str">
        <f t="shared" si="37"/>
        <v xml:space="preserve"> </v>
      </c>
      <c r="AN124" s="2" t="str">
        <f t="shared" si="38"/>
        <v xml:space="preserve"> </v>
      </c>
    </row>
    <row r="125" spans="1:40" x14ac:dyDescent="0.25">
      <c r="A125">
        <v>1918</v>
      </c>
      <c r="B125" s="6">
        <v>461.87973999999997</v>
      </c>
      <c r="C125" s="6">
        <v>9.665997254000354</v>
      </c>
      <c r="D125" s="6"/>
      <c r="E125" s="6">
        <v>5.8397871169021833</v>
      </c>
      <c r="F125" s="6">
        <v>4.2736969898382409</v>
      </c>
      <c r="G125" s="6"/>
      <c r="H125" s="6">
        <v>115.66800000000001</v>
      </c>
      <c r="I125" s="6"/>
      <c r="J125" s="6"/>
      <c r="K125" s="6"/>
      <c r="L125" s="6">
        <v>366.71284554413921</v>
      </c>
      <c r="M125" s="6">
        <v>12.395397185889941</v>
      </c>
      <c r="N125" s="6"/>
      <c r="O125" s="6">
        <v>6.7652780326665445</v>
      </c>
      <c r="P125" s="6">
        <v>6.5540033965691906</v>
      </c>
      <c r="Q125" s="6"/>
      <c r="R125" s="6">
        <v>135.66</v>
      </c>
      <c r="S125" s="4"/>
      <c r="V125" s="2">
        <f t="shared" si="39"/>
        <v>1</v>
      </c>
      <c r="W125" s="2">
        <f t="shared" si="22"/>
        <v>1</v>
      </c>
      <c r="X125" s="2" t="str">
        <f t="shared" si="23"/>
        <v xml:space="preserve"> </v>
      </c>
      <c r="Y125" s="2">
        <f t="shared" si="24"/>
        <v>1</v>
      </c>
      <c r="Z125" s="2">
        <f t="shared" si="25"/>
        <v>1</v>
      </c>
      <c r="AA125" s="2" t="str">
        <f t="shared" si="26"/>
        <v xml:space="preserve"> </v>
      </c>
      <c r="AB125" s="2">
        <f t="shared" si="27"/>
        <v>1</v>
      </c>
      <c r="AC125" s="2" t="str">
        <f t="shared" si="28"/>
        <v xml:space="preserve"> </v>
      </c>
      <c r="AD125" s="2" t="str">
        <f t="shared" si="29"/>
        <v xml:space="preserve"> </v>
      </c>
      <c r="AF125" s="2">
        <f t="shared" si="30"/>
        <v>1</v>
      </c>
      <c r="AG125" s="2">
        <f t="shared" si="31"/>
        <v>1</v>
      </c>
      <c r="AH125" s="2" t="str">
        <f t="shared" si="32"/>
        <v xml:space="preserve"> </v>
      </c>
      <c r="AI125" s="2">
        <f t="shared" si="33"/>
        <v>1</v>
      </c>
      <c r="AJ125" s="2">
        <f t="shared" si="34"/>
        <v>1</v>
      </c>
      <c r="AK125" s="2" t="str">
        <f t="shared" si="35"/>
        <v xml:space="preserve"> </v>
      </c>
      <c r="AL125" s="2">
        <f t="shared" si="36"/>
        <v>1</v>
      </c>
      <c r="AM125" s="2" t="str">
        <f t="shared" si="37"/>
        <v xml:space="preserve"> </v>
      </c>
      <c r="AN125" s="2" t="str">
        <f t="shared" si="38"/>
        <v xml:space="preserve"> </v>
      </c>
    </row>
    <row r="126" spans="1:40" x14ac:dyDescent="0.25">
      <c r="A126">
        <v>1919</v>
      </c>
      <c r="B126" s="6">
        <v>454.147605</v>
      </c>
      <c r="C126" s="6">
        <v>5.7998963408914053</v>
      </c>
      <c r="D126" s="6"/>
      <c r="E126" s="6">
        <v>3.3947319778188536</v>
      </c>
      <c r="F126" s="6">
        <v>2.4843466969748214</v>
      </c>
      <c r="G126" s="6"/>
      <c r="H126" s="6">
        <v>136.00099999999998</v>
      </c>
      <c r="I126" s="6"/>
      <c r="J126" s="6"/>
      <c r="K126" s="6"/>
      <c r="L126" s="6">
        <v>375.06822987110485</v>
      </c>
      <c r="M126" s="6">
        <v>11.510599535667648</v>
      </c>
      <c r="N126" s="6"/>
      <c r="O126" s="6">
        <v>3.9104436229205173</v>
      </c>
      <c r="P126" s="6">
        <v>3.7883233568468238</v>
      </c>
      <c r="Q126" s="6"/>
      <c r="R126" s="6">
        <v>239.21999999999997</v>
      </c>
      <c r="S126" s="4"/>
      <c r="V126" s="2">
        <f t="shared" si="39"/>
        <v>1</v>
      </c>
      <c r="W126" s="2">
        <f t="shared" si="22"/>
        <v>1</v>
      </c>
      <c r="X126" s="2" t="str">
        <f t="shared" si="23"/>
        <v xml:space="preserve"> </v>
      </c>
      <c r="Y126" s="2">
        <f t="shared" si="24"/>
        <v>1</v>
      </c>
      <c r="Z126" s="2">
        <f t="shared" si="25"/>
        <v>1</v>
      </c>
      <c r="AA126" s="2" t="str">
        <f t="shared" si="26"/>
        <v xml:space="preserve"> </v>
      </c>
      <c r="AB126" s="2">
        <f t="shared" si="27"/>
        <v>1</v>
      </c>
      <c r="AC126" s="2" t="str">
        <f t="shared" si="28"/>
        <v xml:space="preserve"> </v>
      </c>
      <c r="AD126" s="2" t="str">
        <f t="shared" si="29"/>
        <v xml:space="preserve"> </v>
      </c>
      <c r="AF126" s="2">
        <f t="shared" si="30"/>
        <v>1</v>
      </c>
      <c r="AG126" s="2">
        <f t="shared" si="31"/>
        <v>1</v>
      </c>
      <c r="AH126" s="2" t="str">
        <f t="shared" si="32"/>
        <v xml:space="preserve"> </v>
      </c>
      <c r="AI126" s="2">
        <f t="shared" si="33"/>
        <v>1</v>
      </c>
      <c r="AJ126" s="2">
        <f t="shared" si="34"/>
        <v>1</v>
      </c>
      <c r="AK126" s="2" t="str">
        <f t="shared" si="35"/>
        <v xml:space="preserve"> </v>
      </c>
      <c r="AL126" s="2">
        <f t="shared" si="36"/>
        <v>1</v>
      </c>
      <c r="AM126" s="2" t="str">
        <f t="shared" si="37"/>
        <v xml:space="preserve"> </v>
      </c>
      <c r="AN126" s="2" t="str">
        <f t="shared" si="38"/>
        <v xml:space="preserve"> </v>
      </c>
    </row>
    <row r="127" spans="1:40" x14ac:dyDescent="0.25">
      <c r="A127">
        <v>1920</v>
      </c>
      <c r="B127" s="6">
        <v>445.0917</v>
      </c>
      <c r="C127" s="6">
        <v>5.2662904818976326</v>
      </c>
      <c r="D127" s="6"/>
      <c r="E127" s="6">
        <v>4.3323722092000008</v>
      </c>
      <c r="F127" s="6">
        <v>3.1705344216620399</v>
      </c>
      <c r="G127" s="6"/>
      <c r="H127" s="6">
        <v>225.09000000000003</v>
      </c>
      <c r="I127" s="6"/>
      <c r="J127" s="6"/>
      <c r="K127" s="6"/>
      <c r="L127" s="6">
        <v>471.13906174174093</v>
      </c>
      <c r="M127" s="6">
        <v>11.408238246969717</v>
      </c>
      <c r="N127" s="6"/>
      <c r="O127" s="6">
        <v>4.7196550416000012</v>
      </c>
      <c r="P127" s="6">
        <v>4.5722637006079063</v>
      </c>
      <c r="Q127" s="6"/>
      <c r="R127" s="6">
        <v>169.82400000000001</v>
      </c>
      <c r="S127" s="4"/>
      <c r="V127" s="2">
        <f t="shared" si="39"/>
        <v>1</v>
      </c>
      <c r="W127" s="2">
        <f t="shared" si="22"/>
        <v>1</v>
      </c>
      <c r="X127" s="2" t="str">
        <f t="shared" si="23"/>
        <v xml:space="preserve"> </v>
      </c>
      <c r="Y127" s="2">
        <f t="shared" si="24"/>
        <v>1</v>
      </c>
      <c r="Z127" s="2">
        <f t="shared" si="25"/>
        <v>1</v>
      </c>
      <c r="AA127" s="2" t="str">
        <f t="shared" si="26"/>
        <v xml:space="preserve"> </v>
      </c>
      <c r="AB127" s="2">
        <f t="shared" si="27"/>
        <v>1</v>
      </c>
      <c r="AC127" s="2" t="str">
        <f t="shared" si="28"/>
        <v xml:space="preserve"> </v>
      </c>
      <c r="AD127" s="2" t="str">
        <f t="shared" si="29"/>
        <v xml:space="preserve"> </v>
      </c>
      <c r="AF127" s="2">
        <f t="shared" si="30"/>
        <v>1</v>
      </c>
      <c r="AG127" s="2">
        <f t="shared" si="31"/>
        <v>1</v>
      </c>
      <c r="AH127" s="2" t="str">
        <f t="shared" si="32"/>
        <v xml:space="preserve"> </v>
      </c>
      <c r="AI127" s="2">
        <f t="shared" si="33"/>
        <v>1</v>
      </c>
      <c r="AJ127" s="2">
        <f t="shared" si="34"/>
        <v>1</v>
      </c>
      <c r="AK127" s="2" t="str">
        <f t="shared" si="35"/>
        <v xml:space="preserve"> </v>
      </c>
      <c r="AL127" s="2">
        <f t="shared" si="36"/>
        <v>1</v>
      </c>
      <c r="AM127" s="2" t="str">
        <f t="shared" si="37"/>
        <v xml:space="preserve"> </v>
      </c>
      <c r="AN127" s="2" t="str">
        <f t="shared" si="38"/>
        <v xml:space="preserve"> </v>
      </c>
    </row>
    <row r="128" spans="1:40" x14ac:dyDescent="0.25">
      <c r="A128">
        <v>1921</v>
      </c>
      <c r="B128" s="6">
        <v>498.96839</v>
      </c>
      <c r="C128" s="6">
        <v>5.2752212416612112</v>
      </c>
      <c r="D128" s="6"/>
      <c r="E128" s="6">
        <v>4.4622373544</v>
      </c>
      <c r="F128" s="6">
        <v>3.2655728655326706</v>
      </c>
      <c r="G128" s="6"/>
      <c r="H128" s="6">
        <v>165.55</v>
      </c>
      <c r="I128" s="6"/>
      <c r="J128" s="6"/>
      <c r="K128" s="6"/>
      <c r="L128" s="6">
        <v>558.97092236085166</v>
      </c>
      <c r="M128" s="6">
        <v>7.2065675857560096</v>
      </c>
      <c r="N128" s="6"/>
      <c r="O128" s="6">
        <v>3.0447931864999997</v>
      </c>
      <c r="P128" s="6">
        <v>2.9497065441826642</v>
      </c>
      <c r="Q128" s="6"/>
      <c r="R128" s="6">
        <v>172.48000000000002</v>
      </c>
      <c r="S128" s="4"/>
      <c r="V128" s="2">
        <f t="shared" si="39"/>
        <v>1</v>
      </c>
      <c r="W128" s="2">
        <f t="shared" si="22"/>
        <v>1</v>
      </c>
      <c r="X128" s="2" t="str">
        <f t="shared" si="23"/>
        <v xml:space="preserve"> </v>
      </c>
      <c r="Y128" s="2">
        <f t="shared" si="24"/>
        <v>1</v>
      </c>
      <c r="Z128" s="2">
        <f t="shared" si="25"/>
        <v>1</v>
      </c>
      <c r="AA128" s="2" t="str">
        <f t="shared" si="26"/>
        <v xml:space="preserve"> </v>
      </c>
      <c r="AB128" s="2">
        <f t="shared" si="27"/>
        <v>1</v>
      </c>
      <c r="AC128" s="2" t="str">
        <f t="shared" si="28"/>
        <v xml:space="preserve"> </v>
      </c>
      <c r="AD128" s="2" t="str">
        <f t="shared" si="29"/>
        <v xml:space="preserve"> </v>
      </c>
      <c r="AF128" s="2">
        <f t="shared" si="30"/>
        <v>1</v>
      </c>
      <c r="AG128" s="2">
        <f t="shared" si="31"/>
        <v>1</v>
      </c>
      <c r="AH128" s="2" t="str">
        <f t="shared" si="32"/>
        <v xml:space="preserve"> </v>
      </c>
      <c r="AI128" s="2">
        <f t="shared" si="33"/>
        <v>1</v>
      </c>
      <c r="AJ128" s="2">
        <f t="shared" si="34"/>
        <v>1</v>
      </c>
      <c r="AK128" s="2" t="str">
        <f t="shared" si="35"/>
        <v xml:space="preserve"> </v>
      </c>
      <c r="AL128" s="2">
        <f t="shared" si="36"/>
        <v>1</v>
      </c>
      <c r="AM128" s="2" t="str">
        <f t="shared" si="37"/>
        <v xml:space="preserve"> </v>
      </c>
      <c r="AN128" s="2" t="str">
        <f t="shared" si="38"/>
        <v xml:space="preserve"> </v>
      </c>
    </row>
    <row r="129" spans="1:40" x14ac:dyDescent="0.25">
      <c r="A129">
        <v>1922</v>
      </c>
      <c r="B129" s="6">
        <v>564.42165</v>
      </c>
      <c r="C129" s="6">
        <v>8.3492433471956282</v>
      </c>
      <c r="D129" s="6"/>
      <c r="E129" s="6">
        <v>4.9811427127999997</v>
      </c>
      <c r="F129" s="6">
        <v>3.6453203158783261</v>
      </c>
      <c r="G129" s="6"/>
      <c r="H129" s="6">
        <v>155.04999999999998</v>
      </c>
      <c r="I129" s="6"/>
      <c r="J129" s="6"/>
      <c r="K129" s="6"/>
      <c r="L129" s="6">
        <v>539.8336616601473</v>
      </c>
      <c r="M129" s="6">
        <v>13.757885634899464</v>
      </c>
      <c r="N129" s="6"/>
      <c r="O129" s="6">
        <v>4.5811354096999999</v>
      </c>
      <c r="P129" s="6">
        <v>4.4380699345009598</v>
      </c>
      <c r="Q129" s="6"/>
      <c r="R129" s="6">
        <v>189.60399999999996</v>
      </c>
      <c r="S129" s="4"/>
      <c r="V129" s="2">
        <f t="shared" si="39"/>
        <v>1</v>
      </c>
      <c r="W129" s="2">
        <f t="shared" si="22"/>
        <v>1</v>
      </c>
      <c r="X129" s="2" t="str">
        <f t="shared" si="23"/>
        <v xml:space="preserve"> </v>
      </c>
      <c r="Y129" s="2">
        <f t="shared" si="24"/>
        <v>1</v>
      </c>
      <c r="Z129" s="2">
        <f t="shared" si="25"/>
        <v>1</v>
      </c>
      <c r="AA129" s="2" t="str">
        <f t="shared" si="26"/>
        <v xml:space="preserve"> </v>
      </c>
      <c r="AB129" s="2">
        <f t="shared" si="27"/>
        <v>1</v>
      </c>
      <c r="AC129" s="2" t="str">
        <f t="shared" si="28"/>
        <v xml:space="preserve"> </v>
      </c>
      <c r="AD129" s="2" t="str">
        <f t="shared" si="29"/>
        <v xml:space="preserve"> </v>
      </c>
      <c r="AF129" s="2">
        <f t="shared" si="30"/>
        <v>1</v>
      </c>
      <c r="AG129" s="2">
        <f t="shared" si="31"/>
        <v>1</v>
      </c>
      <c r="AH129" s="2" t="str">
        <f t="shared" si="32"/>
        <v xml:space="preserve"> </v>
      </c>
      <c r="AI129" s="2">
        <f t="shared" si="33"/>
        <v>1</v>
      </c>
      <c r="AJ129" s="2">
        <f t="shared" si="34"/>
        <v>1</v>
      </c>
      <c r="AK129" s="2" t="str">
        <f t="shared" si="35"/>
        <v xml:space="preserve"> </v>
      </c>
      <c r="AL129" s="2">
        <f t="shared" si="36"/>
        <v>1</v>
      </c>
      <c r="AM129" s="2" t="str">
        <f t="shared" si="37"/>
        <v xml:space="preserve"> </v>
      </c>
      <c r="AN129" s="2" t="str">
        <f t="shared" si="38"/>
        <v xml:space="preserve"> </v>
      </c>
    </row>
    <row r="130" spans="1:40" x14ac:dyDescent="0.25">
      <c r="A130">
        <v>1923</v>
      </c>
      <c r="B130" s="6">
        <v>532.00750000000005</v>
      </c>
      <c r="C130" s="6">
        <v>9.339993567958091</v>
      </c>
      <c r="D130" s="6"/>
      <c r="E130" s="6">
        <v>4.6350146986</v>
      </c>
      <c r="F130" s="6">
        <v>3.392015491100755</v>
      </c>
      <c r="G130" s="6"/>
      <c r="H130" s="6">
        <v>198.77199999999999</v>
      </c>
      <c r="I130" s="6"/>
      <c r="J130" s="6"/>
      <c r="K130" s="6"/>
      <c r="L130" s="6">
        <v>588.05090674123335</v>
      </c>
      <c r="M130" s="6">
        <v>12.737088909201869</v>
      </c>
      <c r="N130" s="6"/>
      <c r="O130" s="6">
        <v>3.6691159361999999</v>
      </c>
      <c r="P130" s="6">
        <v>3.5545321555369438</v>
      </c>
      <c r="Q130" s="6"/>
      <c r="R130" s="6">
        <v>209.76399999999998</v>
      </c>
      <c r="S130" s="4"/>
      <c r="V130" s="2">
        <f t="shared" si="39"/>
        <v>1</v>
      </c>
      <c r="W130" s="2">
        <f t="shared" si="22"/>
        <v>1</v>
      </c>
      <c r="X130" s="2" t="str">
        <f t="shared" si="23"/>
        <v xml:space="preserve"> </v>
      </c>
      <c r="Y130" s="2">
        <f t="shared" si="24"/>
        <v>1</v>
      </c>
      <c r="Z130" s="2">
        <f t="shared" si="25"/>
        <v>1</v>
      </c>
      <c r="AA130" s="2" t="str">
        <f t="shared" si="26"/>
        <v xml:space="preserve"> </v>
      </c>
      <c r="AB130" s="2">
        <f t="shared" si="27"/>
        <v>1</v>
      </c>
      <c r="AC130" s="2" t="str">
        <f t="shared" si="28"/>
        <v xml:space="preserve"> </v>
      </c>
      <c r="AD130" s="2" t="str">
        <f t="shared" si="29"/>
        <v xml:space="preserve"> </v>
      </c>
      <c r="AF130" s="2">
        <f t="shared" si="30"/>
        <v>1</v>
      </c>
      <c r="AG130" s="2">
        <f t="shared" si="31"/>
        <v>1</v>
      </c>
      <c r="AH130" s="2" t="str">
        <f t="shared" si="32"/>
        <v xml:space="preserve"> </v>
      </c>
      <c r="AI130" s="2">
        <f t="shared" si="33"/>
        <v>1</v>
      </c>
      <c r="AJ130" s="2">
        <f t="shared" si="34"/>
        <v>1</v>
      </c>
      <c r="AK130" s="2" t="str">
        <f t="shared" si="35"/>
        <v xml:space="preserve"> </v>
      </c>
      <c r="AL130" s="2">
        <f t="shared" si="36"/>
        <v>1</v>
      </c>
      <c r="AM130" s="2" t="str">
        <f t="shared" si="37"/>
        <v xml:space="preserve"> </v>
      </c>
      <c r="AN130" s="2" t="str">
        <f t="shared" si="38"/>
        <v xml:space="preserve"> </v>
      </c>
    </row>
    <row r="131" spans="1:40" x14ac:dyDescent="0.25">
      <c r="A131">
        <v>1924</v>
      </c>
      <c r="B131" s="6">
        <v>686.13420000000008</v>
      </c>
      <c r="C131" s="6">
        <v>9.999171487071699</v>
      </c>
      <c r="D131" s="6"/>
      <c r="E131" s="6">
        <v>6.2764650885000011</v>
      </c>
      <c r="F131" s="6">
        <v>3.7927622200000002</v>
      </c>
      <c r="G131" s="6"/>
      <c r="H131" s="6">
        <v>214.37</v>
      </c>
      <c r="I131" s="6"/>
      <c r="J131" s="6"/>
      <c r="K131" s="6"/>
      <c r="L131" s="6">
        <v>671.25982878245168</v>
      </c>
      <c r="M131" s="6">
        <v>12.363533889965813</v>
      </c>
      <c r="N131" s="6"/>
      <c r="O131" s="6">
        <v>5.5922110138000001</v>
      </c>
      <c r="P131" s="6">
        <v>6.5203397999999995</v>
      </c>
      <c r="Q131" s="6"/>
      <c r="R131" s="6">
        <v>231.608</v>
      </c>
      <c r="S131" s="4"/>
      <c r="V131" s="2">
        <f t="shared" si="39"/>
        <v>1</v>
      </c>
      <c r="W131" s="2">
        <f t="shared" si="22"/>
        <v>1</v>
      </c>
      <c r="X131" s="2" t="str">
        <f t="shared" si="23"/>
        <v xml:space="preserve"> </v>
      </c>
      <c r="Y131" s="2">
        <f t="shared" si="24"/>
        <v>1</v>
      </c>
      <c r="Z131" s="2">
        <f t="shared" si="25"/>
        <v>1</v>
      </c>
      <c r="AA131" s="2" t="str">
        <f t="shared" si="26"/>
        <v xml:space="preserve"> </v>
      </c>
      <c r="AB131" s="2">
        <f t="shared" si="27"/>
        <v>1</v>
      </c>
      <c r="AC131" s="2" t="str">
        <f t="shared" si="28"/>
        <v xml:space="preserve"> </v>
      </c>
      <c r="AD131" s="2" t="str">
        <f t="shared" si="29"/>
        <v xml:space="preserve"> </v>
      </c>
      <c r="AF131" s="2">
        <f t="shared" si="30"/>
        <v>1</v>
      </c>
      <c r="AG131" s="2">
        <f t="shared" si="31"/>
        <v>1</v>
      </c>
      <c r="AH131" s="2" t="str">
        <f t="shared" si="32"/>
        <v xml:space="preserve"> </v>
      </c>
      <c r="AI131" s="2">
        <f t="shared" si="33"/>
        <v>1</v>
      </c>
      <c r="AJ131" s="2">
        <f t="shared" si="34"/>
        <v>1</v>
      </c>
      <c r="AK131" s="2" t="str">
        <f t="shared" si="35"/>
        <v xml:space="preserve"> </v>
      </c>
      <c r="AL131" s="2">
        <f t="shared" si="36"/>
        <v>1</v>
      </c>
      <c r="AM131" s="2" t="str">
        <f t="shared" si="37"/>
        <v xml:space="preserve"> </v>
      </c>
      <c r="AN131" s="2" t="str">
        <f t="shared" si="38"/>
        <v xml:space="preserve"> </v>
      </c>
    </row>
    <row r="132" spans="1:40" x14ac:dyDescent="0.25">
      <c r="A132">
        <v>1925</v>
      </c>
      <c r="B132" s="6">
        <v>731.88377000000003</v>
      </c>
      <c r="C132" s="6">
        <v>12.509190213284112</v>
      </c>
      <c r="D132" s="6"/>
      <c r="E132" s="6">
        <v>6.4670504655000007</v>
      </c>
      <c r="F132" s="6">
        <v>4.5690544199999996</v>
      </c>
      <c r="G132" s="6"/>
      <c r="H132" s="6">
        <v>253.09200000000001</v>
      </c>
      <c r="I132" s="6"/>
      <c r="J132" s="6"/>
      <c r="K132" s="6"/>
      <c r="L132" s="6">
        <v>696.64843926199239</v>
      </c>
      <c r="M132" s="6">
        <v>18.0653556504116</v>
      </c>
      <c r="N132" s="6"/>
      <c r="O132" s="6">
        <v>5.0172474930000002</v>
      </c>
      <c r="P132" s="6">
        <v>7.5000819600000002</v>
      </c>
      <c r="Q132" s="6"/>
      <c r="R132" s="6">
        <v>265.65000000000003</v>
      </c>
      <c r="S132" s="4"/>
      <c r="V132" s="2">
        <f t="shared" si="39"/>
        <v>1</v>
      </c>
      <c r="W132" s="2">
        <f t="shared" si="22"/>
        <v>1</v>
      </c>
      <c r="X132" s="2" t="str">
        <f t="shared" si="23"/>
        <v xml:space="preserve"> </v>
      </c>
      <c r="Y132" s="2">
        <f t="shared" si="24"/>
        <v>1</v>
      </c>
      <c r="Z132" s="2">
        <f t="shared" si="25"/>
        <v>1</v>
      </c>
      <c r="AA132" s="2" t="str">
        <f t="shared" si="26"/>
        <v xml:space="preserve"> </v>
      </c>
      <c r="AB132" s="2">
        <f t="shared" si="27"/>
        <v>1</v>
      </c>
      <c r="AC132" s="2" t="str">
        <f t="shared" si="28"/>
        <v xml:space="preserve"> </v>
      </c>
      <c r="AD132" s="2" t="str">
        <f t="shared" si="29"/>
        <v xml:space="preserve"> </v>
      </c>
      <c r="AF132" s="2">
        <f t="shared" si="30"/>
        <v>1</v>
      </c>
      <c r="AG132" s="2">
        <f t="shared" si="31"/>
        <v>1</v>
      </c>
      <c r="AH132" s="2" t="str">
        <f t="shared" si="32"/>
        <v xml:space="preserve"> </v>
      </c>
      <c r="AI132" s="2">
        <f t="shared" si="33"/>
        <v>1</v>
      </c>
      <c r="AJ132" s="2">
        <f t="shared" si="34"/>
        <v>1</v>
      </c>
      <c r="AK132" s="2" t="str">
        <f t="shared" si="35"/>
        <v xml:space="preserve"> </v>
      </c>
      <c r="AL132" s="2">
        <f t="shared" si="36"/>
        <v>1</v>
      </c>
      <c r="AM132" s="2" t="str">
        <f t="shared" si="37"/>
        <v xml:space="preserve"> </v>
      </c>
      <c r="AN132" s="2" t="str">
        <f t="shared" si="38"/>
        <v xml:space="preserve"> </v>
      </c>
    </row>
    <row r="133" spans="1:40" x14ac:dyDescent="0.25">
      <c r="A133">
        <v>1926</v>
      </c>
      <c r="B133" s="6">
        <v>664.39508000000012</v>
      </c>
      <c r="C133" s="6">
        <v>13.739676786763116</v>
      </c>
      <c r="D133" s="6"/>
      <c r="E133" s="6">
        <v>6.2116893477000001</v>
      </c>
      <c r="F133" s="6">
        <v>4.8388395600000003</v>
      </c>
      <c r="G133" s="6"/>
      <c r="H133" s="6">
        <v>242.51400000000001</v>
      </c>
      <c r="I133" s="6"/>
      <c r="J133" s="6"/>
      <c r="K133" s="6"/>
      <c r="L133" s="6">
        <v>753.39580632380489</v>
      </c>
      <c r="M133" s="6">
        <v>17.612161611749265</v>
      </c>
      <c r="N133" s="6"/>
      <c r="O133" s="6">
        <v>4.6760954241000006</v>
      </c>
      <c r="P133" s="6">
        <v>8.7232820400000008</v>
      </c>
      <c r="Q133" s="6"/>
      <c r="R133" s="6">
        <v>218.70000000000002</v>
      </c>
      <c r="S133" s="4"/>
      <c r="V133" s="2">
        <f t="shared" si="39"/>
        <v>1</v>
      </c>
      <c r="W133" s="2">
        <f t="shared" si="22"/>
        <v>1</v>
      </c>
      <c r="X133" s="2" t="str">
        <f t="shared" si="23"/>
        <v xml:space="preserve"> </v>
      </c>
      <c r="Y133" s="2">
        <f t="shared" si="24"/>
        <v>1</v>
      </c>
      <c r="Z133" s="2">
        <f t="shared" si="25"/>
        <v>1</v>
      </c>
      <c r="AA133" s="2" t="str">
        <f t="shared" si="26"/>
        <v xml:space="preserve"> </v>
      </c>
      <c r="AB133" s="2">
        <f t="shared" si="27"/>
        <v>1</v>
      </c>
      <c r="AC133" s="2" t="str">
        <f t="shared" si="28"/>
        <v xml:space="preserve"> </v>
      </c>
      <c r="AD133" s="2" t="str">
        <f t="shared" si="29"/>
        <v xml:space="preserve"> </v>
      </c>
      <c r="AF133" s="2">
        <f t="shared" si="30"/>
        <v>1</v>
      </c>
      <c r="AG133" s="2">
        <f t="shared" si="31"/>
        <v>1</v>
      </c>
      <c r="AH133" s="2" t="str">
        <f t="shared" si="32"/>
        <v xml:space="preserve"> </v>
      </c>
      <c r="AI133" s="2">
        <f t="shared" si="33"/>
        <v>1</v>
      </c>
      <c r="AJ133" s="2">
        <f t="shared" si="34"/>
        <v>1</v>
      </c>
      <c r="AK133" s="2" t="str">
        <f t="shared" si="35"/>
        <v xml:space="preserve"> </v>
      </c>
      <c r="AL133" s="2">
        <f t="shared" si="36"/>
        <v>1</v>
      </c>
      <c r="AM133" s="2" t="str">
        <f t="shared" si="37"/>
        <v xml:space="preserve"> </v>
      </c>
      <c r="AN133" s="2" t="str">
        <f t="shared" si="38"/>
        <v xml:space="preserve"> </v>
      </c>
    </row>
    <row r="134" spans="1:40" x14ac:dyDescent="0.25">
      <c r="A134">
        <v>1927</v>
      </c>
      <c r="B134" s="6">
        <v>654.42429000000004</v>
      </c>
      <c r="C134" s="6">
        <v>11.744432932349261</v>
      </c>
      <c r="D134" s="6"/>
      <c r="E134" s="6">
        <v>8.0619280253999985</v>
      </c>
      <c r="F134" s="6">
        <v>5.0689799999999998</v>
      </c>
      <c r="G134" s="6"/>
      <c r="H134" s="6">
        <v>217.72800000000001</v>
      </c>
      <c r="I134" s="6"/>
      <c r="J134" s="6"/>
      <c r="K134" s="6"/>
      <c r="L134" s="6">
        <v>745.60534259888527</v>
      </c>
      <c r="M134" s="6">
        <v>17.525789188467993</v>
      </c>
      <c r="N134" s="6"/>
      <c r="O134" s="6">
        <v>5.3477936135999986</v>
      </c>
      <c r="P134" s="6">
        <v>7.9703999999999997</v>
      </c>
      <c r="Q134" s="6"/>
      <c r="R134" s="6">
        <v>234.738</v>
      </c>
      <c r="S134" s="4"/>
      <c r="V134" s="2">
        <f t="shared" si="39"/>
        <v>1</v>
      </c>
      <c r="W134" s="2">
        <f t="shared" si="22"/>
        <v>1</v>
      </c>
      <c r="X134" s="2" t="str">
        <f t="shared" si="23"/>
        <v xml:space="preserve"> </v>
      </c>
      <c r="Y134" s="2">
        <f t="shared" si="24"/>
        <v>1</v>
      </c>
      <c r="Z134" s="2">
        <f t="shared" si="25"/>
        <v>1</v>
      </c>
      <c r="AA134" s="2" t="str">
        <f t="shared" si="26"/>
        <v xml:space="preserve"> </v>
      </c>
      <c r="AB134" s="2">
        <f t="shared" si="27"/>
        <v>1</v>
      </c>
      <c r="AC134" s="2" t="str">
        <f t="shared" si="28"/>
        <v xml:space="preserve"> </v>
      </c>
      <c r="AD134" s="2" t="str">
        <f t="shared" si="29"/>
        <v xml:space="preserve"> </v>
      </c>
      <c r="AF134" s="2">
        <f t="shared" si="30"/>
        <v>1</v>
      </c>
      <c r="AG134" s="2">
        <f t="shared" si="31"/>
        <v>1</v>
      </c>
      <c r="AH134" s="2" t="str">
        <f t="shared" si="32"/>
        <v xml:space="preserve"> </v>
      </c>
      <c r="AI134" s="2">
        <f t="shared" si="33"/>
        <v>1</v>
      </c>
      <c r="AJ134" s="2">
        <f t="shared" si="34"/>
        <v>1</v>
      </c>
      <c r="AK134" s="2" t="str">
        <f t="shared" si="35"/>
        <v xml:space="preserve"> </v>
      </c>
      <c r="AL134" s="2">
        <f t="shared" si="36"/>
        <v>1</v>
      </c>
      <c r="AM134" s="2" t="str">
        <f t="shared" si="37"/>
        <v xml:space="preserve"> </v>
      </c>
      <c r="AN134" s="2" t="str">
        <f t="shared" si="38"/>
        <v xml:space="preserve"> </v>
      </c>
    </row>
    <row r="135" spans="1:40" x14ac:dyDescent="0.25">
      <c r="A135">
        <v>1928</v>
      </c>
      <c r="B135" s="6">
        <v>660.7939100000001</v>
      </c>
      <c r="C135" s="6">
        <v>13.407202498920656</v>
      </c>
      <c r="D135" s="6"/>
      <c r="E135" s="6">
        <v>8.3425289158399991</v>
      </c>
      <c r="F135" s="6">
        <v>6.69625</v>
      </c>
      <c r="G135" s="6"/>
      <c r="H135" s="6">
        <v>218.17599999999999</v>
      </c>
      <c r="I135" s="6"/>
      <c r="J135" s="6"/>
      <c r="K135" s="6"/>
      <c r="L135" s="6">
        <v>707.76837548671915</v>
      </c>
      <c r="M135" s="6">
        <v>26.677238317311367</v>
      </c>
      <c r="N135" s="6"/>
      <c r="O135" s="6">
        <v>5.6910974108799994</v>
      </c>
      <c r="P135" s="6">
        <v>9.7253900000000009</v>
      </c>
      <c r="Q135" s="6"/>
      <c r="R135" s="6">
        <v>270.77199999999999</v>
      </c>
      <c r="S135" s="4"/>
      <c r="V135" s="2">
        <f t="shared" si="39"/>
        <v>1</v>
      </c>
      <c r="W135" s="2">
        <f t="shared" si="22"/>
        <v>1</v>
      </c>
      <c r="X135" s="2" t="str">
        <f t="shared" si="23"/>
        <v xml:space="preserve"> </v>
      </c>
      <c r="Y135" s="2">
        <f t="shared" si="24"/>
        <v>1</v>
      </c>
      <c r="Z135" s="2">
        <f t="shared" si="25"/>
        <v>1</v>
      </c>
      <c r="AA135" s="2" t="str">
        <f t="shared" si="26"/>
        <v xml:space="preserve"> </v>
      </c>
      <c r="AB135" s="2">
        <f t="shared" si="27"/>
        <v>1</v>
      </c>
      <c r="AC135" s="2" t="str">
        <f t="shared" si="28"/>
        <v xml:space="preserve"> </v>
      </c>
      <c r="AD135" s="2" t="str">
        <f t="shared" si="29"/>
        <v xml:space="preserve"> </v>
      </c>
      <c r="AF135" s="2">
        <f t="shared" si="30"/>
        <v>1</v>
      </c>
      <c r="AG135" s="2">
        <f t="shared" si="31"/>
        <v>1</v>
      </c>
      <c r="AH135" s="2" t="str">
        <f t="shared" si="32"/>
        <v xml:space="preserve"> </v>
      </c>
      <c r="AI135" s="2">
        <f t="shared" si="33"/>
        <v>1</v>
      </c>
      <c r="AJ135" s="2">
        <f t="shared" si="34"/>
        <v>1</v>
      </c>
      <c r="AK135" s="2" t="str">
        <f t="shared" si="35"/>
        <v xml:space="preserve"> </v>
      </c>
      <c r="AL135" s="2">
        <f t="shared" si="36"/>
        <v>1</v>
      </c>
      <c r="AM135" s="2" t="str">
        <f t="shared" si="37"/>
        <v xml:space="preserve"> </v>
      </c>
      <c r="AN135" s="2" t="str">
        <f t="shared" si="38"/>
        <v xml:space="preserve"> </v>
      </c>
    </row>
    <row r="136" spans="1:40" x14ac:dyDescent="0.25">
      <c r="A136">
        <v>1929</v>
      </c>
      <c r="B136" s="6">
        <v>560.63294999999994</v>
      </c>
      <c r="C136" s="6">
        <v>11.493938606093863</v>
      </c>
      <c r="D136" s="6"/>
      <c r="E136" s="6">
        <v>7.753189765440001</v>
      </c>
      <c r="F136" s="6">
        <v>6.1041600000000003</v>
      </c>
      <c r="G136" s="6"/>
      <c r="H136" s="6">
        <v>237.65400000000002</v>
      </c>
      <c r="I136" s="6"/>
      <c r="J136" s="6"/>
      <c r="K136" s="6"/>
      <c r="L136" s="6">
        <v>685.82688353562094</v>
      </c>
      <c r="M136" s="6">
        <v>15.235377876906055</v>
      </c>
      <c r="N136" s="6"/>
      <c r="O136" s="6">
        <v>5.5797394463999996</v>
      </c>
      <c r="P136" s="6">
        <v>7.7760000000000007</v>
      </c>
      <c r="Q136" s="6"/>
      <c r="R136" s="6">
        <v>273.61799999999999</v>
      </c>
      <c r="S136" s="4"/>
      <c r="V136" s="2">
        <f t="shared" si="39"/>
        <v>1</v>
      </c>
      <c r="W136" s="2">
        <f t="shared" si="22"/>
        <v>1</v>
      </c>
      <c r="X136" s="2" t="str">
        <f t="shared" si="23"/>
        <v xml:space="preserve"> </v>
      </c>
      <c r="Y136" s="2">
        <f t="shared" si="24"/>
        <v>1</v>
      </c>
      <c r="Z136" s="2">
        <f t="shared" si="25"/>
        <v>1</v>
      </c>
      <c r="AA136" s="2" t="str">
        <f t="shared" si="26"/>
        <v xml:space="preserve"> </v>
      </c>
      <c r="AB136" s="2">
        <f t="shared" si="27"/>
        <v>1</v>
      </c>
      <c r="AC136" s="2" t="str">
        <f t="shared" si="28"/>
        <v xml:space="preserve"> </v>
      </c>
      <c r="AD136" s="2" t="str">
        <f t="shared" si="29"/>
        <v xml:space="preserve"> </v>
      </c>
      <c r="AF136" s="2">
        <f t="shared" si="30"/>
        <v>1</v>
      </c>
      <c r="AG136" s="2">
        <f t="shared" si="31"/>
        <v>1</v>
      </c>
      <c r="AH136" s="2" t="str">
        <f t="shared" si="32"/>
        <v xml:space="preserve"> </v>
      </c>
      <c r="AI136" s="2">
        <f t="shared" si="33"/>
        <v>1</v>
      </c>
      <c r="AJ136" s="2">
        <f t="shared" si="34"/>
        <v>1</v>
      </c>
      <c r="AK136" s="2" t="str">
        <f t="shared" si="35"/>
        <v xml:space="preserve"> </v>
      </c>
      <c r="AL136" s="2">
        <f t="shared" si="36"/>
        <v>1</v>
      </c>
      <c r="AM136" s="2" t="str">
        <f t="shared" si="37"/>
        <v xml:space="preserve"> </v>
      </c>
      <c r="AN136" s="2" t="str">
        <f t="shared" si="38"/>
        <v xml:space="preserve"> </v>
      </c>
    </row>
    <row r="137" spans="1:40" x14ac:dyDescent="0.25">
      <c r="A137">
        <v>1930</v>
      </c>
      <c r="B137" s="6">
        <v>416.07208499999996</v>
      </c>
      <c r="C137" s="6">
        <v>11.223968131564202</v>
      </c>
      <c r="D137" s="6"/>
      <c r="E137" s="6">
        <v>7.4484703999999997</v>
      </c>
      <c r="F137" s="6">
        <v>6.269400000000001</v>
      </c>
      <c r="G137" s="6"/>
      <c r="H137" s="6">
        <v>215.298</v>
      </c>
      <c r="I137" s="6"/>
      <c r="J137" s="6"/>
      <c r="K137" s="6"/>
      <c r="L137" s="6">
        <v>456.89702023098494</v>
      </c>
      <c r="M137" s="6">
        <v>13.077368327354755</v>
      </c>
      <c r="N137" s="6"/>
      <c r="O137" s="6">
        <v>4.6514720000000001</v>
      </c>
      <c r="P137" s="6">
        <v>7.0470000000000006</v>
      </c>
      <c r="Q137" s="6"/>
      <c r="R137" s="6">
        <v>215.78400000000002</v>
      </c>
      <c r="S137" s="4"/>
      <c r="V137" s="2">
        <f t="shared" si="39"/>
        <v>1</v>
      </c>
      <c r="W137" s="2">
        <f t="shared" si="22"/>
        <v>1</v>
      </c>
      <c r="X137" s="2" t="str">
        <f t="shared" si="23"/>
        <v xml:space="preserve"> </v>
      </c>
      <c r="Y137" s="2">
        <f t="shared" si="24"/>
        <v>1</v>
      </c>
      <c r="Z137" s="2">
        <f t="shared" si="25"/>
        <v>1</v>
      </c>
      <c r="AA137" s="2" t="str">
        <f t="shared" si="26"/>
        <v xml:space="preserve"> </v>
      </c>
      <c r="AB137" s="2">
        <f t="shared" si="27"/>
        <v>1</v>
      </c>
      <c r="AC137" s="2" t="str">
        <f t="shared" si="28"/>
        <v xml:space="preserve"> </v>
      </c>
      <c r="AD137" s="2" t="str">
        <f t="shared" si="29"/>
        <v xml:space="preserve"> </v>
      </c>
      <c r="AF137" s="2">
        <f t="shared" si="30"/>
        <v>1</v>
      </c>
      <c r="AG137" s="2">
        <f t="shared" si="31"/>
        <v>1</v>
      </c>
      <c r="AH137" s="2" t="str">
        <f t="shared" si="32"/>
        <v xml:space="preserve"> </v>
      </c>
      <c r="AI137" s="2">
        <f t="shared" si="33"/>
        <v>1</v>
      </c>
      <c r="AJ137" s="2">
        <f t="shared" si="34"/>
        <v>1</v>
      </c>
      <c r="AK137" s="2" t="str">
        <f t="shared" si="35"/>
        <v xml:space="preserve"> </v>
      </c>
      <c r="AL137" s="2">
        <f t="shared" si="36"/>
        <v>1</v>
      </c>
      <c r="AM137" s="2" t="str">
        <f t="shared" si="37"/>
        <v xml:space="preserve"> </v>
      </c>
      <c r="AN137" s="2" t="str">
        <f t="shared" si="38"/>
        <v xml:space="preserve"> </v>
      </c>
    </row>
    <row r="138" spans="1:40" x14ac:dyDescent="0.25">
      <c r="A138">
        <v>1931</v>
      </c>
      <c r="B138" s="6">
        <v>242.40272999999999</v>
      </c>
      <c r="C138" s="6">
        <v>7.5301985004987166</v>
      </c>
      <c r="D138" s="6"/>
      <c r="E138" s="6">
        <v>4.6207392</v>
      </c>
      <c r="F138" s="6">
        <v>4.6035599999999999</v>
      </c>
      <c r="G138" s="6"/>
      <c r="H138" s="6">
        <v>120.31</v>
      </c>
      <c r="I138" s="6"/>
      <c r="J138" s="6"/>
      <c r="K138" s="6"/>
      <c r="L138" s="6">
        <v>159.30792985409366</v>
      </c>
      <c r="M138" s="6">
        <v>7.8382541770936847</v>
      </c>
      <c r="N138" s="6"/>
      <c r="O138" s="6">
        <v>3.7302719999999998</v>
      </c>
      <c r="P138" s="6">
        <v>5.2119199999999992</v>
      </c>
      <c r="Q138" s="6"/>
      <c r="R138" s="6">
        <v>156.17599999999999</v>
      </c>
      <c r="S138" s="4"/>
      <c r="V138" s="2">
        <f t="shared" si="39"/>
        <v>1</v>
      </c>
      <c r="W138" s="2">
        <f t="shared" si="22"/>
        <v>1</v>
      </c>
      <c r="X138" s="2" t="str">
        <f t="shared" si="23"/>
        <v xml:space="preserve"> </v>
      </c>
      <c r="Y138" s="2">
        <f t="shared" si="24"/>
        <v>1</v>
      </c>
      <c r="Z138" s="2">
        <f t="shared" si="25"/>
        <v>1</v>
      </c>
      <c r="AA138" s="2" t="str">
        <f t="shared" si="26"/>
        <v xml:space="preserve"> </v>
      </c>
      <c r="AB138" s="2">
        <f t="shared" si="27"/>
        <v>1</v>
      </c>
      <c r="AC138" s="2" t="str">
        <f t="shared" si="28"/>
        <v xml:space="preserve"> </v>
      </c>
      <c r="AD138" s="2" t="str">
        <f t="shared" si="29"/>
        <v xml:space="preserve"> </v>
      </c>
      <c r="AF138" s="2">
        <f t="shared" si="30"/>
        <v>1</v>
      </c>
      <c r="AG138" s="2">
        <f t="shared" si="31"/>
        <v>1</v>
      </c>
      <c r="AH138" s="2" t="str">
        <f t="shared" si="32"/>
        <v xml:space="preserve"> </v>
      </c>
      <c r="AI138" s="2">
        <f t="shared" si="33"/>
        <v>1</v>
      </c>
      <c r="AJ138" s="2">
        <f t="shared" si="34"/>
        <v>1</v>
      </c>
      <c r="AK138" s="2" t="str">
        <f t="shared" si="35"/>
        <v xml:space="preserve"> </v>
      </c>
      <c r="AL138" s="2">
        <f t="shared" si="36"/>
        <v>1</v>
      </c>
      <c r="AM138" s="2" t="str">
        <f t="shared" si="37"/>
        <v xml:space="preserve"> </v>
      </c>
      <c r="AN138" s="2" t="str">
        <f t="shared" si="38"/>
        <v xml:space="preserve"> </v>
      </c>
    </row>
    <row r="139" spans="1:40" x14ac:dyDescent="0.25">
      <c r="A139">
        <v>1932</v>
      </c>
      <c r="B139" s="6">
        <v>260.21050000000002</v>
      </c>
      <c r="C139" s="6">
        <v>5.2631430222171218</v>
      </c>
      <c r="D139" s="6"/>
      <c r="E139" s="6">
        <v>2.9627751999999994</v>
      </c>
      <c r="F139" s="6">
        <v>2.9308499999999995</v>
      </c>
      <c r="G139" s="6"/>
      <c r="H139" s="6">
        <v>86.346000000000004</v>
      </c>
      <c r="I139" s="6"/>
      <c r="J139" s="6"/>
      <c r="K139" s="6"/>
      <c r="L139" s="6">
        <v>166.04556581431081</v>
      </c>
      <c r="M139" s="6">
        <v>9.0848525168519512</v>
      </c>
      <c r="N139" s="6"/>
      <c r="O139" s="6">
        <v>2.6578775999999995</v>
      </c>
      <c r="P139" s="6">
        <v>3.8750400000000003</v>
      </c>
      <c r="Q139" s="6"/>
      <c r="R139" s="6">
        <v>120.74399999999999</v>
      </c>
      <c r="S139" s="4"/>
      <c r="V139" s="2">
        <f t="shared" si="39"/>
        <v>1</v>
      </c>
      <c r="W139" s="2">
        <f t="shared" si="22"/>
        <v>1</v>
      </c>
      <c r="X139" s="2" t="str">
        <f t="shared" si="23"/>
        <v xml:space="preserve"> </v>
      </c>
      <c r="Y139" s="2">
        <f t="shared" si="24"/>
        <v>1</v>
      </c>
      <c r="Z139" s="2">
        <f t="shared" si="25"/>
        <v>1</v>
      </c>
      <c r="AA139" s="2" t="str">
        <f t="shared" si="26"/>
        <v xml:space="preserve"> </v>
      </c>
      <c r="AB139" s="2">
        <f t="shared" si="27"/>
        <v>1</v>
      </c>
      <c r="AC139" s="2" t="str">
        <f t="shared" si="28"/>
        <v xml:space="preserve"> </v>
      </c>
      <c r="AD139" s="2" t="str">
        <f t="shared" si="29"/>
        <v xml:space="preserve"> </v>
      </c>
      <c r="AF139" s="2">
        <f t="shared" si="30"/>
        <v>1</v>
      </c>
      <c r="AG139" s="2">
        <f t="shared" si="31"/>
        <v>1</v>
      </c>
      <c r="AH139" s="2" t="str">
        <f t="shared" si="32"/>
        <v xml:space="preserve"> </v>
      </c>
      <c r="AI139" s="2">
        <f t="shared" si="33"/>
        <v>1</v>
      </c>
      <c r="AJ139" s="2">
        <f t="shared" si="34"/>
        <v>1</v>
      </c>
      <c r="AK139" s="2" t="str">
        <f t="shared" si="35"/>
        <v xml:space="preserve"> </v>
      </c>
      <c r="AL139" s="2">
        <f t="shared" si="36"/>
        <v>1</v>
      </c>
      <c r="AM139" s="2" t="str">
        <f t="shared" si="37"/>
        <v xml:space="preserve"> </v>
      </c>
      <c r="AN139" s="2" t="str">
        <f t="shared" si="38"/>
        <v xml:space="preserve"> </v>
      </c>
    </row>
    <row r="140" spans="1:40" x14ac:dyDescent="0.25">
      <c r="A140">
        <v>1933</v>
      </c>
      <c r="B140" s="6">
        <v>436.01920000000001</v>
      </c>
      <c r="C140" s="6">
        <v>6.7549473677520728</v>
      </c>
      <c r="D140" s="6"/>
      <c r="E140" s="6">
        <v>3.9040165161290328</v>
      </c>
      <c r="F140" s="6">
        <v>3.9177600000000004</v>
      </c>
      <c r="G140" s="6"/>
      <c r="H140" s="6">
        <v>108.54400000000001</v>
      </c>
      <c r="I140" s="6"/>
      <c r="J140" s="6"/>
      <c r="K140" s="6"/>
      <c r="L140" s="6">
        <v>292.31916811810027</v>
      </c>
      <c r="M140" s="6">
        <v>9.1375146487319299</v>
      </c>
      <c r="N140" s="6"/>
      <c r="O140" s="6">
        <v>3.0692841290322583</v>
      </c>
      <c r="P140" s="6">
        <v>4.2569600000000003</v>
      </c>
      <c r="Q140" s="6"/>
      <c r="R140" s="6">
        <v>168.32800000000003</v>
      </c>
      <c r="S140" s="4"/>
      <c r="V140" s="2">
        <f t="shared" si="39"/>
        <v>1</v>
      </c>
      <c r="W140" s="2">
        <f t="shared" si="22"/>
        <v>1</v>
      </c>
      <c r="X140" s="2" t="str">
        <f t="shared" si="23"/>
        <v xml:space="preserve"> </v>
      </c>
      <c r="Y140" s="2">
        <f t="shared" si="24"/>
        <v>1</v>
      </c>
      <c r="Z140" s="2">
        <f t="shared" si="25"/>
        <v>1</v>
      </c>
      <c r="AA140" s="2" t="str">
        <f t="shared" si="26"/>
        <v xml:space="preserve"> </v>
      </c>
      <c r="AB140" s="2">
        <f t="shared" si="27"/>
        <v>1</v>
      </c>
      <c r="AC140" s="2" t="str">
        <f t="shared" si="28"/>
        <v xml:space="preserve"> </v>
      </c>
      <c r="AD140" s="2" t="str">
        <f t="shared" si="29"/>
        <v xml:space="preserve"> </v>
      </c>
      <c r="AF140" s="2">
        <f t="shared" si="30"/>
        <v>1</v>
      </c>
      <c r="AG140" s="2">
        <f t="shared" si="31"/>
        <v>1</v>
      </c>
      <c r="AH140" s="2" t="str">
        <f t="shared" si="32"/>
        <v xml:space="preserve"> </v>
      </c>
      <c r="AI140" s="2">
        <f t="shared" si="33"/>
        <v>1</v>
      </c>
      <c r="AJ140" s="2">
        <f t="shared" si="34"/>
        <v>1</v>
      </c>
      <c r="AK140" s="2" t="str">
        <f t="shared" si="35"/>
        <v xml:space="preserve"> </v>
      </c>
      <c r="AL140" s="2">
        <f t="shared" si="36"/>
        <v>1</v>
      </c>
      <c r="AM140" s="2" t="str">
        <f t="shared" si="37"/>
        <v xml:space="preserve"> </v>
      </c>
      <c r="AN140" s="2" t="str">
        <f t="shared" si="38"/>
        <v xml:space="preserve"> </v>
      </c>
    </row>
    <row r="141" spans="1:40" x14ac:dyDescent="0.25">
      <c r="A141">
        <v>1934</v>
      </c>
      <c r="B141" s="6">
        <v>429.65120000000007</v>
      </c>
      <c r="C141" s="6">
        <v>7.4992826162713717</v>
      </c>
      <c r="D141" s="6"/>
      <c r="E141" s="6">
        <v>4.8128520149001011</v>
      </c>
      <c r="F141" s="6">
        <v>4.4755200000000004</v>
      </c>
      <c r="G141" s="6"/>
      <c r="H141" s="6">
        <v>157.75200000000001</v>
      </c>
      <c r="I141" s="6"/>
      <c r="J141" s="6"/>
      <c r="K141" s="6"/>
      <c r="L141" s="6">
        <v>320.92550659537204</v>
      </c>
      <c r="M141" s="6">
        <v>9.8725023155946445</v>
      </c>
      <c r="N141" s="6"/>
      <c r="O141" s="6">
        <v>5.474393498137486</v>
      </c>
      <c r="P141" s="6">
        <v>4.0168800000000005</v>
      </c>
      <c r="Q141" s="6"/>
      <c r="R141" s="6">
        <v>231.84</v>
      </c>
      <c r="S141" s="4"/>
      <c r="V141" s="2">
        <f t="shared" si="39"/>
        <v>1</v>
      </c>
      <c r="W141" s="2">
        <f t="shared" si="22"/>
        <v>1</v>
      </c>
      <c r="X141" s="2" t="str">
        <f t="shared" si="23"/>
        <v xml:space="preserve"> </v>
      </c>
      <c r="Y141" s="2">
        <f t="shared" si="24"/>
        <v>1</v>
      </c>
      <c r="Z141" s="2">
        <f t="shared" si="25"/>
        <v>1</v>
      </c>
      <c r="AA141" s="2" t="str">
        <f t="shared" si="26"/>
        <v xml:space="preserve"> </v>
      </c>
      <c r="AB141" s="2">
        <f t="shared" si="27"/>
        <v>1</v>
      </c>
      <c r="AC141" s="2" t="str">
        <f t="shared" si="28"/>
        <v xml:space="preserve"> </v>
      </c>
      <c r="AD141" s="2" t="str">
        <f t="shared" si="29"/>
        <v xml:space="preserve"> </v>
      </c>
      <c r="AF141" s="2">
        <f t="shared" si="30"/>
        <v>1</v>
      </c>
      <c r="AG141" s="2">
        <f t="shared" si="31"/>
        <v>1</v>
      </c>
      <c r="AH141" s="2" t="str">
        <f t="shared" si="32"/>
        <v xml:space="preserve"> </v>
      </c>
      <c r="AI141" s="2">
        <f t="shared" si="33"/>
        <v>1</v>
      </c>
      <c r="AJ141" s="2">
        <f t="shared" si="34"/>
        <v>1</v>
      </c>
      <c r="AK141" s="2" t="str">
        <f t="shared" si="35"/>
        <v xml:space="preserve"> </v>
      </c>
      <c r="AL141" s="2">
        <f t="shared" si="36"/>
        <v>1</v>
      </c>
      <c r="AM141" s="2" t="str">
        <f t="shared" si="37"/>
        <v xml:space="preserve"> </v>
      </c>
      <c r="AN141" s="2" t="str">
        <f t="shared" si="38"/>
        <v xml:space="preserve"> </v>
      </c>
    </row>
    <row r="142" spans="1:40" x14ac:dyDescent="0.25">
      <c r="A142">
        <v>1935</v>
      </c>
      <c r="B142" s="6">
        <v>448.63</v>
      </c>
      <c r="C142" s="6">
        <v>9.0357944585183301</v>
      </c>
      <c r="D142" s="6"/>
      <c r="E142" s="6">
        <v>5.1678821537419575</v>
      </c>
      <c r="F142" s="6">
        <v>4.8020000000000005</v>
      </c>
      <c r="G142" s="6"/>
      <c r="H142" s="6">
        <v>177.87</v>
      </c>
      <c r="I142" s="6"/>
      <c r="J142" s="6"/>
      <c r="K142" s="6"/>
      <c r="L142" s="6">
        <v>378.82289908454499</v>
      </c>
      <c r="M142" s="6">
        <v>12.000056688322367</v>
      </c>
      <c r="N142" s="6"/>
      <c r="O142" s="6">
        <v>6.5094832373857097</v>
      </c>
      <c r="P142" s="6">
        <v>4.2629999999999999</v>
      </c>
      <c r="Q142" s="6"/>
      <c r="R142" s="6">
        <v>220.99000000000004</v>
      </c>
      <c r="S142" s="4"/>
      <c r="V142" s="2">
        <f t="shared" si="39"/>
        <v>1</v>
      </c>
      <c r="W142" s="2">
        <f t="shared" si="22"/>
        <v>1</v>
      </c>
      <c r="X142" s="2" t="str">
        <f t="shared" si="23"/>
        <v xml:space="preserve"> </v>
      </c>
      <c r="Y142" s="2">
        <f t="shared" si="24"/>
        <v>1</v>
      </c>
      <c r="Z142" s="2">
        <f t="shared" si="25"/>
        <v>1</v>
      </c>
      <c r="AA142" s="2" t="str">
        <f t="shared" si="26"/>
        <v xml:space="preserve"> </v>
      </c>
      <c r="AB142" s="2">
        <f t="shared" si="27"/>
        <v>1</v>
      </c>
      <c r="AC142" s="2" t="str">
        <f t="shared" si="28"/>
        <v xml:space="preserve"> </v>
      </c>
      <c r="AD142" s="2" t="str">
        <f t="shared" si="29"/>
        <v xml:space="preserve"> </v>
      </c>
      <c r="AF142" s="2">
        <f t="shared" si="30"/>
        <v>1</v>
      </c>
      <c r="AG142" s="2">
        <f t="shared" si="31"/>
        <v>1</v>
      </c>
      <c r="AH142" s="2" t="str">
        <f t="shared" si="32"/>
        <v xml:space="preserve"> </v>
      </c>
      <c r="AI142" s="2">
        <f t="shared" si="33"/>
        <v>1</v>
      </c>
      <c r="AJ142" s="2">
        <f t="shared" si="34"/>
        <v>1</v>
      </c>
      <c r="AK142" s="2" t="str">
        <f t="shared" si="35"/>
        <v xml:space="preserve"> </v>
      </c>
      <c r="AL142" s="2">
        <f t="shared" si="36"/>
        <v>1</v>
      </c>
      <c r="AM142" s="2" t="str">
        <f t="shared" si="37"/>
        <v xml:space="preserve"> </v>
      </c>
      <c r="AN142" s="2" t="str">
        <f t="shared" si="38"/>
        <v xml:space="preserve"> </v>
      </c>
    </row>
    <row r="143" spans="1:40" x14ac:dyDescent="0.25">
      <c r="A143">
        <v>1936</v>
      </c>
      <c r="B143" s="6">
        <v>534.66104999999982</v>
      </c>
      <c r="C143" s="6">
        <v>10.982487232436823</v>
      </c>
      <c r="D143" s="6"/>
      <c r="E143" s="6">
        <v>5.7573594649508975</v>
      </c>
      <c r="F143" s="6">
        <v>6.3914200000000001</v>
      </c>
      <c r="G143" s="6"/>
      <c r="H143" s="6">
        <v>220.17099999999996</v>
      </c>
      <c r="I143" s="6"/>
      <c r="J143" s="6"/>
      <c r="K143" s="6"/>
      <c r="L143" s="6">
        <v>424.37618459394906</v>
      </c>
      <c r="M143" s="6">
        <v>13.784667216559235</v>
      </c>
      <c r="N143" s="6"/>
      <c r="O143" s="6">
        <v>6.5799424314256685</v>
      </c>
      <c r="P143" s="6">
        <v>6.3367499999999994</v>
      </c>
      <c r="Q143" s="6"/>
      <c r="R143" s="6">
        <v>274.84099999999995</v>
      </c>
      <c r="S143" s="4"/>
      <c r="V143" s="2">
        <f t="shared" si="39"/>
        <v>1</v>
      </c>
      <c r="W143" s="2">
        <f t="shared" si="22"/>
        <v>1</v>
      </c>
      <c r="X143" s="2" t="str">
        <f t="shared" si="23"/>
        <v xml:space="preserve"> </v>
      </c>
      <c r="Y143" s="2">
        <f t="shared" si="24"/>
        <v>1</v>
      </c>
      <c r="Z143" s="2">
        <f t="shared" si="25"/>
        <v>1</v>
      </c>
      <c r="AA143" s="2" t="str">
        <f t="shared" si="26"/>
        <v xml:space="preserve"> </v>
      </c>
      <c r="AB143" s="2">
        <f t="shared" si="27"/>
        <v>1</v>
      </c>
      <c r="AC143" s="2" t="str">
        <f t="shared" si="28"/>
        <v xml:space="preserve"> </v>
      </c>
      <c r="AD143" s="2" t="str">
        <f t="shared" si="29"/>
        <v xml:space="preserve"> </v>
      </c>
      <c r="AF143" s="2">
        <f t="shared" si="30"/>
        <v>1</v>
      </c>
      <c r="AG143" s="2">
        <f t="shared" si="31"/>
        <v>1</v>
      </c>
      <c r="AH143" s="2" t="str">
        <f t="shared" si="32"/>
        <v xml:space="preserve"> </v>
      </c>
      <c r="AI143" s="2">
        <f t="shared" si="33"/>
        <v>1</v>
      </c>
      <c r="AJ143" s="2">
        <f t="shared" si="34"/>
        <v>1</v>
      </c>
      <c r="AK143" s="2" t="str">
        <f t="shared" si="35"/>
        <v xml:space="preserve"> </v>
      </c>
      <c r="AL143" s="2">
        <f t="shared" si="36"/>
        <v>1</v>
      </c>
      <c r="AM143" s="2" t="str">
        <f t="shared" si="37"/>
        <v xml:space="preserve"> </v>
      </c>
      <c r="AN143" s="2" t="str">
        <f t="shared" si="38"/>
        <v xml:space="preserve"> </v>
      </c>
    </row>
    <row r="144" spans="1:40" x14ac:dyDescent="0.25">
      <c r="A144">
        <v>1937</v>
      </c>
      <c r="B144" s="6">
        <v>578.63812500000006</v>
      </c>
      <c r="C144" s="6">
        <v>13.159954230256599</v>
      </c>
      <c r="D144" s="6"/>
      <c r="E144" s="6">
        <v>6.2431434981374876</v>
      </c>
      <c r="F144" s="6">
        <v>8.1114800000000002</v>
      </c>
      <c r="G144" s="6"/>
      <c r="H144" s="6">
        <v>277.62800000000004</v>
      </c>
      <c r="I144" s="6"/>
      <c r="J144" s="6"/>
      <c r="K144" s="6"/>
      <c r="L144" s="6">
        <v>513.64598911270593</v>
      </c>
      <c r="M144" s="6">
        <v>14.703898290346805</v>
      </c>
      <c r="N144" s="6"/>
      <c r="O144" s="6">
        <v>6.3459365052488996</v>
      </c>
      <c r="P144" s="6">
        <v>8.8178999999999998</v>
      </c>
      <c r="Q144" s="6"/>
      <c r="R144" s="6">
        <v>322.58199999999999</v>
      </c>
      <c r="S144" s="4"/>
      <c r="V144" s="2">
        <f t="shared" si="39"/>
        <v>1</v>
      </c>
      <c r="W144" s="2">
        <f t="shared" si="22"/>
        <v>1</v>
      </c>
      <c r="X144" s="2" t="str">
        <f t="shared" si="23"/>
        <v xml:space="preserve"> </v>
      </c>
      <c r="Y144" s="2">
        <f t="shared" si="24"/>
        <v>1</v>
      </c>
      <c r="Z144" s="2">
        <f t="shared" si="25"/>
        <v>1</v>
      </c>
      <c r="AA144" s="2" t="str">
        <f t="shared" si="26"/>
        <v xml:space="preserve"> </v>
      </c>
      <c r="AB144" s="2">
        <f t="shared" si="27"/>
        <v>1</v>
      </c>
      <c r="AC144" s="2" t="str">
        <f t="shared" si="28"/>
        <v xml:space="preserve"> </v>
      </c>
      <c r="AD144" s="2" t="str">
        <f t="shared" si="29"/>
        <v xml:space="preserve"> </v>
      </c>
      <c r="AF144" s="2">
        <f t="shared" si="30"/>
        <v>1</v>
      </c>
      <c r="AG144" s="2">
        <f t="shared" si="31"/>
        <v>1</v>
      </c>
      <c r="AH144" s="2" t="str">
        <f t="shared" si="32"/>
        <v xml:space="preserve"> </v>
      </c>
      <c r="AI144" s="2">
        <f t="shared" si="33"/>
        <v>1</v>
      </c>
      <c r="AJ144" s="2">
        <f t="shared" si="34"/>
        <v>1</v>
      </c>
      <c r="AK144" s="2" t="str">
        <f t="shared" si="35"/>
        <v xml:space="preserve"> </v>
      </c>
      <c r="AL144" s="2">
        <f t="shared" si="36"/>
        <v>1</v>
      </c>
      <c r="AM144" s="2" t="str">
        <f t="shared" si="37"/>
        <v xml:space="preserve"> </v>
      </c>
      <c r="AN144" s="2" t="str">
        <f t="shared" si="38"/>
        <v xml:space="preserve"> </v>
      </c>
    </row>
    <row r="145" spans="1:40" x14ac:dyDescent="0.25">
      <c r="A145">
        <v>1938</v>
      </c>
      <c r="B145" s="6">
        <v>488.47529999999995</v>
      </c>
      <c r="C145" s="6">
        <v>13.548487385140918</v>
      </c>
      <c r="D145" s="6"/>
      <c r="E145" s="6">
        <v>6.3655773789366732</v>
      </c>
      <c r="F145" s="6">
        <v>9.7115399999999994</v>
      </c>
      <c r="G145" s="6"/>
      <c r="H145" s="6">
        <v>270.90600000000001</v>
      </c>
      <c r="I145" s="6"/>
      <c r="J145" s="6"/>
      <c r="K145" s="6"/>
      <c r="L145" s="6">
        <v>494.14744791775757</v>
      </c>
      <c r="M145" s="6">
        <v>11.982756976631846</v>
      </c>
      <c r="N145" s="6"/>
      <c r="O145" s="6">
        <v>5.5705976972570257</v>
      </c>
      <c r="P145" s="6">
        <v>6.8166599999999988</v>
      </c>
      <c r="Q145" s="6"/>
      <c r="R145" s="6">
        <v>279.21899999999999</v>
      </c>
      <c r="S145" s="4"/>
      <c r="V145" s="2">
        <f t="shared" si="39"/>
        <v>1</v>
      </c>
      <c r="W145" s="2">
        <f t="shared" si="22"/>
        <v>1</v>
      </c>
      <c r="X145" s="2" t="str">
        <f t="shared" si="23"/>
        <v xml:space="preserve"> </v>
      </c>
      <c r="Y145" s="2">
        <f t="shared" si="24"/>
        <v>1</v>
      </c>
      <c r="Z145" s="2">
        <f t="shared" si="25"/>
        <v>1</v>
      </c>
      <c r="AA145" s="2" t="str">
        <f t="shared" si="26"/>
        <v xml:space="preserve"> </v>
      </c>
      <c r="AB145" s="2">
        <f t="shared" si="27"/>
        <v>1</v>
      </c>
      <c r="AC145" s="2" t="str">
        <f t="shared" si="28"/>
        <v xml:space="preserve"> </v>
      </c>
      <c r="AD145" s="2" t="str">
        <f t="shared" si="29"/>
        <v xml:space="preserve"> </v>
      </c>
      <c r="AF145" s="2">
        <f t="shared" si="30"/>
        <v>1</v>
      </c>
      <c r="AG145" s="2">
        <f t="shared" si="31"/>
        <v>1</v>
      </c>
      <c r="AH145" s="2" t="str">
        <f t="shared" si="32"/>
        <v xml:space="preserve"> </v>
      </c>
      <c r="AI145" s="2">
        <f t="shared" si="33"/>
        <v>1</v>
      </c>
      <c r="AJ145" s="2">
        <f t="shared" si="34"/>
        <v>1</v>
      </c>
      <c r="AK145" s="2" t="str">
        <f t="shared" si="35"/>
        <v xml:space="preserve"> </v>
      </c>
      <c r="AL145" s="2">
        <f t="shared" si="36"/>
        <v>1</v>
      </c>
      <c r="AM145" s="2" t="str">
        <f t="shared" si="37"/>
        <v xml:space="preserve"> </v>
      </c>
      <c r="AN145" s="2" t="str">
        <f t="shared" si="38"/>
        <v xml:space="preserve">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145"/>
  <sheetViews>
    <sheetView workbookViewId="0">
      <pane xSplit="1" ySplit="6" topLeftCell="B26" activePane="bottomRight" state="frozen"/>
      <selection pane="topRight" activeCell="B1" sqref="B1"/>
      <selection pane="bottomLeft" activeCell="A7" sqref="A7"/>
      <selection pane="bottomRight" activeCell="R33" sqref="R33:R35"/>
    </sheetView>
  </sheetViews>
  <sheetFormatPr baseColWidth="10" defaultColWidth="9.109375" defaultRowHeight="13.2" x14ac:dyDescent="0.25"/>
  <cols>
    <col min="18" max="18" width="11.5546875" bestFit="1" customWidth="1"/>
    <col min="19" max="19" width="11.5546875" customWidth="1"/>
  </cols>
  <sheetData>
    <row r="2" spans="1:19" ht="14.4" x14ac:dyDescent="0.3">
      <c r="A2" s="1"/>
      <c r="B2" s="16" t="s">
        <v>0</v>
      </c>
      <c r="L2" s="16" t="s">
        <v>1</v>
      </c>
    </row>
    <row r="3" spans="1:19" ht="14.4" x14ac:dyDescent="0.3">
      <c r="B3" s="13" t="s">
        <v>13</v>
      </c>
      <c r="C3" s="14" t="s">
        <v>19</v>
      </c>
      <c r="D3" s="13" t="s">
        <v>17</v>
      </c>
      <c r="E3" s="13" t="s">
        <v>14</v>
      </c>
      <c r="F3" s="15" t="s">
        <v>20</v>
      </c>
      <c r="G3" s="13" t="s">
        <v>15</v>
      </c>
      <c r="H3" s="13" t="s">
        <v>16</v>
      </c>
      <c r="I3" s="13" t="s">
        <v>18</v>
      </c>
      <c r="K3" s="1"/>
      <c r="L3" s="13" t="s">
        <v>13</v>
      </c>
      <c r="M3" s="14" t="s">
        <v>19</v>
      </c>
      <c r="N3" s="13" t="s">
        <v>17</v>
      </c>
      <c r="O3" s="13" t="s">
        <v>14</v>
      </c>
      <c r="P3" s="15" t="s">
        <v>20</v>
      </c>
      <c r="Q3" s="13" t="s">
        <v>15</v>
      </c>
      <c r="R3" s="13" t="s">
        <v>16</v>
      </c>
      <c r="S3" s="13" t="s">
        <v>18</v>
      </c>
    </row>
    <row r="4" spans="1:19" ht="14.4" x14ac:dyDescent="0.3">
      <c r="B4" s="17" t="s">
        <v>23</v>
      </c>
      <c r="L4" s="17" t="s">
        <v>23</v>
      </c>
    </row>
    <row r="5" spans="1:19" ht="14.4" x14ac:dyDescent="0.3">
      <c r="C5" s="11"/>
      <c r="F5" s="12"/>
    </row>
    <row r="7" spans="1:19" x14ac:dyDescent="0.25">
      <c r="A7">
        <v>1800</v>
      </c>
    </row>
    <row r="8" spans="1:19" x14ac:dyDescent="0.25">
      <c r="A8">
        <v>1801</v>
      </c>
    </row>
    <row r="9" spans="1:19" x14ac:dyDescent="0.25">
      <c r="A9">
        <v>1802</v>
      </c>
    </row>
    <row r="10" spans="1:19" x14ac:dyDescent="0.25">
      <c r="A10">
        <v>1803</v>
      </c>
    </row>
    <row r="11" spans="1:19" x14ac:dyDescent="0.25">
      <c r="A11">
        <v>1804</v>
      </c>
    </row>
    <row r="12" spans="1:19" x14ac:dyDescent="0.25">
      <c r="A12">
        <v>1805</v>
      </c>
    </row>
    <row r="13" spans="1:19" x14ac:dyDescent="0.25">
      <c r="A13">
        <v>1806</v>
      </c>
    </row>
    <row r="14" spans="1:19" x14ac:dyDescent="0.25">
      <c r="A14">
        <v>1807</v>
      </c>
    </row>
    <row r="15" spans="1:19" x14ac:dyDescent="0.25">
      <c r="A15">
        <v>1808</v>
      </c>
    </row>
    <row r="16" spans="1:19" x14ac:dyDescent="0.25">
      <c r="A16">
        <v>1809</v>
      </c>
    </row>
    <row r="17" spans="1:1" x14ac:dyDescent="0.25">
      <c r="A17">
        <v>1810</v>
      </c>
    </row>
    <row r="18" spans="1:1" x14ac:dyDescent="0.25">
      <c r="A18">
        <v>1811</v>
      </c>
    </row>
    <row r="19" spans="1:1" x14ac:dyDescent="0.25">
      <c r="A19">
        <v>1812</v>
      </c>
    </row>
    <row r="20" spans="1:1" x14ac:dyDescent="0.25">
      <c r="A20">
        <v>1813</v>
      </c>
    </row>
    <row r="21" spans="1:1" x14ac:dyDescent="0.25">
      <c r="A21">
        <v>1814</v>
      </c>
    </row>
    <row r="22" spans="1:1" x14ac:dyDescent="0.25">
      <c r="A22">
        <v>1815</v>
      </c>
    </row>
    <row r="23" spans="1:1" x14ac:dyDescent="0.25">
      <c r="A23">
        <v>1816</v>
      </c>
    </row>
    <row r="24" spans="1:1" x14ac:dyDescent="0.25">
      <c r="A24">
        <v>1817</v>
      </c>
    </row>
    <row r="25" spans="1:1" x14ac:dyDescent="0.25">
      <c r="A25">
        <v>1818</v>
      </c>
    </row>
    <row r="26" spans="1:1" x14ac:dyDescent="0.25">
      <c r="A26">
        <v>1819</v>
      </c>
    </row>
    <row r="27" spans="1:1" x14ac:dyDescent="0.25">
      <c r="A27">
        <v>1820</v>
      </c>
    </row>
    <row r="28" spans="1:1" x14ac:dyDescent="0.25">
      <c r="A28">
        <v>1821</v>
      </c>
    </row>
    <row r="29" spans="1:1" x14ac:dyDescent="0.25">
      <c r="A29">
        <v>1822</v>
      </c>
    </row>
    <row r="30" spans="1:1" x14ac:dyDescent="0.25">
      <c r="A30">
        <v>1823</v>
      </c>
    </row>
    <row r="31" spans="1:1" x14ac:dyDescent="0.25">
      <c r="A31">
        <v>1824</v>
      </c>
    </row>
    <row r="32" spans="1:1" x14ac:dyDescent="0.25">
      <c r="A32">
        <v>1825</v>
      </c>
    </row>
    <row r="33" spans="1:19" x14ac:dyDescent="0.25">
      <c r="A33">
        <v>1826</v>
      </c>
      <c r="B33" s="8">
        <v>1.9286400000000004</v>
      </c>
      <c r="C33" s="6"/>
      <c r="D33" s="6"/>
      <c r="E33" s="6"/>
      <c r="F33" s="6"/>
      <c r="G33" s="6"/>
      <c r="H33" s="6"/>
      <c r="I33" s="6"/>
      <c r="J33" s="6"/>
      <c r="K33" s="6"/>
      <c r="L33" s="6">
        <v>0.48216000000000009</v>
      </c>
      <c r="M33" s="6"/>
      <c r="N33" s="6"/>
      <c r="O33" s="6"/>
      <c r="P33" s="6"/>
      <c r="Q33" s="4">
        <v>5.6866365907741684E-4</v>
      </c>
      <c r="R33" s="4">
        <v>4.5873319869735299E-3</v>
      </c>
    </row>
    <row r="34" spans="1:19" x14ac:dyDescent="0.25">
      <c r="A34">
        <v>1827</v>
      </c>
      <c r="B34" s="8">
        <v>2.4003999999999999</v>
      </c>
      <c r="C34" s="6"/>
      <c r="D34" s="6"/>
      <c r="E34" s="6"/>
      <c r="F34" s="6"/>
      <c r="G34" s="6"/>
      <c r="H34" s="6"/>
      <c r="I34" s="6"/>
      <c r="J34" s="6"/>
      <c r="K34" s="6"/>
      <c r="L34" s="6">
        <v>0.48008000000000001</v>
      </c>
      <c r="M34" s="6"/>
      <c r="N34" s="6"/>
      <c r="O34" s="6"/>
      <c r="P34" s="6"/>
      <c r="Q34" s="4">
        <v>5.9915359466249324E-4</v>
      </c>
      <c r="R34" s="4">
        <v>4.8484174897738116E-3</v>
      </c>
    </row>
    <row r="35" spans="1:19" x14ac:dyDescent="0.25">
      <c r="A35">
        <v>1828</v>
      </c>
      <c r="B35" s="8">
        <v>3.4584899999999994</v>
      </c>
      <c r="C35" s="6"/>
      <c r="D35" s="6"/>
      <c r="E35" s="6"/>
      <c r="F35" s="6"/>
      <c r="G35" s="6"/>
      <c r="H35" s="6"/>
      <c r="I35" s="6"/>
      <c r="J35" s="6"/>
      <c r="K35" s="6"/>
      <c r="L35" s="6">
        <v>0.49407000000000001</v>
      </c>
      <c r="M35" s="6"/>
      <c r="N35" s="6"/>
      <c r="O35" s="6"/>
      <c r="P35" s="6"/>
      <c r="Q35" s="4">
        <v>5.725103029046865E-4</v>
      </c>
      <c r="R35" s="4">
        <v>4.6258712585674462E-3</v>
      </c>
    </row>
    <row r="36" spans="1:19" x14ac:dyDescent="0.25">
      <c r="A36">
        <v>1829</v>
      </c>
      <c r="B36" s="8">
        <v>3.9486400000000001</v>
      </c>
      <c r="C36" s="6"/>
      <c r="D36" s="6"/>
      <c r="E36" s="6"/>
      <c r="F36" s="6"/>
      <c r="G36" s="6"/>
      <c r="H36" s="6"/>
      <c r="I36" s="6"/>
      <c r="J36" s="6"/>
      <c r="K36" s="6"/>
      <c r="L36" s="6">
        <v>0.98716000000000004</v>
      </c>
      <c r="M36" s="6"/>
      <c r="N36" s="6"/>
      <c r="O36" s="6"/>
      <c r="P36" s="6"/>
      <c r="Q36" s="4">
        <v>1.1438355167113588E-3</v>
      </c>
      <c r="R36" s="6">
        <v>9.1176479305976731E-3</v>
      </c>
    </row>
    <row r="37" spans="1:19" x14ac:dyDescent="0.25">
      <c r="A37">
        <v>1830</v>
      </c>
      <c r="B37" s="8">
        <v>3.3605599999999995</v>
      </c>
      <c r="C37" s="6"/>
      <c r="D37" s="6"/>
      <c r="E37" s="6"/>
      <c r="F37" s="6"/>
      <c r="G37" s="6"/>
      <c r="H37" s="9"/>
      <c r="I37" s="9"/>
      <c r="J37" s="6"/>
      <c r="K37" s="6"/>
      <c r="L37" s="6">
        <v>0.96016000000000001</v>
      </c>
      <c r="M37" s="6"/>
      <c r="N37" s="6"/>
      <c r="O37" s="6"/>
      <c r="P37" s="6"/>
      <c r="Q37" s="4">
        <v>1.1431684511572324E-3</v>
      </c>
      <c r="R37" s="6">
        <v>8.9241616061950801E-3</v>
      </c>
      <c r="S37" s="4"/>
    </row>
    <row r="38" spans="1:19" x14ac:dyDescent="0.25">
      <c r="A38">
        <v>1831</v>
      </c>
      <c r="B38" s="8">
        <v>3.9603999999999999</v>
      </c>
      <c r="C38" s="6"/>
      <c r="D38" s="6"/>
      <c r="E38" s="6"/>
      <c r="F38" s="6"/>
      <c r="G38" s="6"/>
      <c r="H38" s="6"/>
      <c r="I38" s="6"/>
      <c r="J38" s="6"/>
      <c r="K38" s="6"/>
      <c r="L38" s="6">
        <v>1.9802</v>
      </c>
      <c r="M38" s="6"/>
      <c r="N38" s="6"/>
      <c r="O38" s="6"/>
      <c r="P38" s="6"/>
      <c r="Q38" s="4">
        <v>2.3803120747947367E-3</v>
      </c>
      <c r="R38" s="6">
        <v>1.8966333868694864E-2</v>
      </c>
      <c r="S38" s="4"/>
    </row>
    <row r="39" spans="1:19" x14ac:dyDescent="0.25">
      <c r="A39">
        <v>1832</v>
      </c>
      <c r="B39" s="8">
        <v>4.9020000000000001</v>
      </c>
      <c r="C39" s="6"/>
      <c r="D39" s="6"/>
      <c r="E39" s="6"/>
      <c r="F39" s="6"/>
      <c r="G39" s="6"/>
      <c r="H39" s="6"/>
      <c r="I39" s="6"/>
      <c r="J39" s="6"/>
      <c r="K39" s="6"/>
      <c r="L39" s="6">
        <v>2.4510000000000001</v>
      </c>
      <c r="M39" s="6"/>
      <c r="N39" s="6"/>
      <c r="O39" s="6"/>
      <c r="P39" s="6"/>
      <c r="Q39" s="4">
        <v>3.5199186400600431E-3</v>
      </c>
      <c r="R39" s="6">
        <v>2.8032872506653803E-2</v>
      </c>
      <c r="S39" s="4"/>
    </row>
    <row r="40" spans="1:19" x14ac:dyDescent="0.25">
      <c r="A40">
        <v>1833</v>
      </c>
      <c r="B40" s="8">
        <v>4.7506000000000004</v>
      </c>
      <c r="C40" s="6"/>
      <c r="D40" s="6"/>
      <c r="E40" s="6"/>
      <c r="F40" s="6"/>
      <c r="G40" s="6"/>
      <c r="H40" s="6"/>
      <c r="I40" s="6"/>
      <c r="J40" s="6"/>
      <c r="K40" s="6"/>
      <c r="L40" s="6">
        <v>2.3753000000000002</v>
      </c>
      <c r="M40" s="6"/>
      <c r="N40" s="6"/>
      <c r="O40" s="6"/>
      <c r="P40" s="6"/>
      <c r="Q40" s="4">
        <v>3.5417970382702613E-3</v>
      </c>
      <c r="R40" s="6">
        <v>2.7797742564666977E-2</v>
      </c>
      <c r="S40" s="4"/>
    </row>
    <row r="41" spans="1:19" x14ac:dyDescent="0.25">
      <c r="A41">
        <v>1834</v>
      </c>
      <c r="B41" s="8">
        <v>6.6985799999999998</v>
      </c>
      <c r="C41" s="6"/>
      <c r="D41" s="6"/>
      <c r="E41" s="6"/>
      <c r="F41" s="6"/>
      <c r="G41" s="6"/>
      <c r="H41" s="6"/>
      <c r="I41" s="6"/>
      <c r="J41" s="6"/>
      <c r="K41" s="6"/>
      <c r="L41" s="6">
        <v>3.8277600000000001</v>
      </c>
      <c r="M41" s="6"/>
      <c r="N41" s="6"/>
      <c r="O41" s="6"/>
      <c r="P41" s="6"/>
      <c r="Q41" s="4">
        <v>5.1586724004851698E-3</v>
      </c>
      <c r="R41" s="6">
        <v>3.9227597174909479E-2</v>
      </c>
      <c r="S41" s="4"/>
    </row>
    <row r="42" spans="1:19" x14ac:dyDescent="0.25">
      <c r="A42">
        <v>1835</v>
      </c>
      <c r="B42" s="8">
        <v>8.0443200000000008</v>
      </c>
      <c r="C42" s="6"/>
      <c r="D42" s="6"/>
      <c r="E42" s="6"/>
      <c r="F42" s="6"/>
      <c r="G42" s="6"/>
      <c r="H42" s="6"/>
      <c r="I42" s="6"/>
      <c r="J42" s="6"/>
      <c r="K42" s="6"/>
      <c r="L42" s="6">
        <v>4.5249300000000003</v>
      </c>
      <c r="M42" s="6"/>
      <c r="N42" s="6"/>
      <c r="O42" s="6"/>
      <c r="P42" s="6"/>
      <c r="Q42" s="4">
        <v>5.1586724004851698E-3</v>
      </c>
      <c r="R42" s="6">
        <v>4.6782675210782498E-2</v>
      </c>
      <c r="S42" s="4"/>
    </row>
    <row r="43" spans="1:19" x14ac:dyDescent="0.25">
      <c r="A43">
        <v>1836</v>
      </c>
      <c r="B43" s="8">
        <v>8.4576700000000002</v>
      </c>
      <c r="C43" s="6"/>
      <c r="D43" s="6"/>
      <c r="E43" s="6"/>
      <c r="F43" s="6"/>
      <c r="G43" s="6"/>
      <c r="H43" s="6"/>
      <c r="I43" s="6"/>
      <c r="J43" s="6"/>
      <c r="K43" s="6"/>
      <c r="L43" s="6">
        <v>4.9751000000000003</v>
      </c>
      <c r="M43" s="6"/>
      <c r="N43" s="6"/>
      <c r="O43" s="6"/>
      <c r="P43" s="6"/>
      <c r="Q43" s="4">
        <v>4.6805865422570956E-3</v>
      </c>
      <c r="R43" s="6">
        <v>5.3268151860676641E-2</v>
      </c>
      <c r="S43" s="4"/>
    </row>
    <row r="44" spans="1:19" x14ac:dyDescent="0.25">
      <c r="A44">
        <v>1837</v>
      </c>
      <c r="B44" s="8">
        <v>8.0299499999999995</v>
      </c>
      <c r="C44" s="6"/>
      <c r="D44" s="6"/>
      <c r="E44" s="6"/>
      <c r="F44" s="6"/>
      <c r="G44" s="6"/>
      <c r="H44" s="6"/>
      <c r="I44" s="6"/>
      <c r="J44" s="6"/>
      <c r="K44" s="6"/>
      <c r="L44" s="6">
        <v>5.3532999999999999</v>
      </c>
      <c r="M44" s="6"/>
      <c r="N44" s="6"/>
      <c r="O44" s="6"/>
      <c r="P44" s="6"/>
      <c r="Q44" s="4">
        <v>4.2468078371283684E-3</v>
      </c>
      <c r="R44" s="6">
        <v>6.3911316231144877E-2</v>
      </c>
      <c r="S44" s="4"/>
    </row>
    <row r="45" spans="1:19" x14ac:dyDescent="0.25">
      <c r="A45">
        <v>1838</v>
      </c>
      <c r="B45" s="8">
        <v>10.69782</v>
      </c>
      <c r="C45" s="6"/>
      <c r="D45" s="6"/>
      <c r="E45" s="6"/>
      <c r="F45" s="6"/>
      <c r="G45" s="6"/>
      <c r="H45" s="6"/>
      <c r="I45" s="6"/>
      <c r="J45" s="6"/>
      <c r="K45" s="6"/>
      <c r="L45" s="6">
        <v>5.6036200000000003</v>
      </c>
      <c r="M45" s="6"/>
      <c r="N45" s="6"/>
      <c r="O45" s="6"/>
      <c r="P45" s="6"/>
      <c r="Q45" s="4">
        <v>3.8532300690669041E-3</v>
      </c>
      <c r="R45" s="6">
        <v>6.690031537645931E-2</v>
      </c>
      <c r="S45" s="4"/>
    </row>
    <row r="46" spans="1:19" x14ac:dyDescent="0.25">
      <c r="A46">
        <v>1839</v>
      </c>
      <c r="B46" s="8">
        <v>12.609220000000001</v>
      </c>
      <c r="C46" s="6"/>
      <c r="D46" s="6"/>
      <c r="E46" s="6"/>
      <c r="F46" s="6"/>
      <c r="G46" s="6"/>
      <c r="H46" s="6"/>
      <c r="I46" s="6"/>
      <c r="J46" s="6"/>
      <c r="K46" s="6"/>
      <c r="L46" s="6">
        <v>4.8497000000000003</v>
      </c>
      <c r="M46" s="6"/>
      <c r="N46" s="6"/>
      <c r="O46" s="6"/>
      <c r="P46" s="6"/>
      <c r="Q46" s="4">
        <v>3.4961275703025282E-3</v>
      </c>
      <c r="R46" s="6">
        <v>6.1910224604013846E-2</v>
      </c>
      <c r="S46" s="4"/>
    </row>
    <row r="47" spans="1:19" x14ac:dyDescent="0.25">
      <c r="A47">
        <v>1840</v>
      </c>
      <c r="B47" s="8">
        <v>17.315999999999999</v>
      </c>
      <c r="C47" s="6"/>
      <c r="D47" s="6"/>
      <c r="E47" s="6"/>
      <c r="F47" s="6"/>
      <c r="G47" s="6"/>
      <c r="H47" s="6"/>
      <c r="I47" s="6"/>
      <c r="J47" s="6"/>
      <c r="K47" s="6"/>
      <c r="L47" s="6">
        <v>7.2149999999999999</v>
      </c>
      <c r="M47" s="6"/>
      <c r="N47" s="6"/>
      <c r="O47" s="6"/>
      <c r="P47" s="6"/>
      <c r="Q47" s="4">
        <v>3.1721199535820477E-3</v>
      </c>
      <c r="R47" s="6">
        <v>9.7342143179579621E-2</v>
      </c>
      <c r="S47" s="4"/>
    </row>
    <row r="48" spans="1:19" x14ac:dyDescent="0.25">
      <c r="A48">
        <v>1841</v>
      </c>
      <c r="B48" s="8">
        <v>15.136679999999998</v>
      </c>
      <c r="C48" s="6"/>
      <c r="D48" s="6"/>
      <c r="E48" s="6"/>
      <c r="F48" s="6"/>
      <c r="G48" s="6"/>
      <c r="H48" s="6"/>
      <c r="I48" s="6"/>
      <c r="J48" s="6"/>
      <c r="K48" s="6"/>
      <c r="L48" s="6">
        <v>6.3476399999999993</v>
      </c>
      <c r="M48" s="6"/>
      <c r="N48" s="6"/>
      <c r="O48" s="6"/>
      <c r="P48" s="6"/>
      <c r="Q48" s="4">
        <v>2.8781401129028762E-3</v>
      </c>
      <c r="R48" s="6">
        <v>8.9807399999999996E-2</v>
      </c>
      <c r="S48" s="4"/>
    </row>
    <row r="49" spans="1:36" x14ac:dyDescent="0.25">
      <c r="A49">
        <v>1842</v>
      </c>
      <c r="B49" s="8">
        <v>8.1106999999999996</v>
      </c>
      <c r="C49" s="6"/>
      <c r="D49" s="6"/>
      <c r="E49" s="6"/>
      <c r="F49" s="6"/>
      <c r="G49" s="6"/>
      <c r="H49" s="6"/>
      <c r="I49" s="6"/>
      <c r="J49" s="6"/>
      <c r="K49" s="6"/>
      <c r="L49" s="6">
        <v>6.2023000000000001</v>
      </c>
      <c r="M49" s="6"/>
      <c r="N49" s="6"/>
      <c r="O49" s="6"/>
      <c r="P49" s="6"/>
      <c r="Q49" s="4">
        <v>2.6114051898152215E-3</v>
      </c>
      <c r="R49" s="6">
        <v>0.11993000000000001</v>
      </c>
      <c r="S49" s="4"/>
    </row>
    <row r="50" spans="1:36" x14ac:dyDescent="0.25">
      <c r="A50">
        <v>1843</v>
      </c>
      <c r="B50" s="8">
        <v>9.1389999999999993</v>
      </c>
      <c r="C50" s="6"/>
      <c r="D50" s="6"/>
      <c r="E50" s="6"/>
      <c r="F50" s="6"/>
      <c r="G50" s="6"/>
      <c r="H50" s="6"/>
      <c r="I50" s="6"/>
      <c r="J50" s="6"/>
      <c r="K50" s="6"/>
      <c r="L50" s="6">
        <v>6.2530000000000001</v>
      </c>
      <c r="M50" s="6"/>
      <c r="N50" s="6"/>
      <c r="O50" s="6"/>
      <c r="P50" s="6"/>
      <c r="Q50" s="4">
        <v>2.3693902304553986E-3</v>
      </c>
      <c r="R50" s="6">
        <v>0.25854119999999997</v>
      </c>
      <c r="S50" s="4"/>
    </row>
    <row r="51" spans="1:36" x14ac:dyDescent="0.25">
      <c r="A51">
        <v>1844</v>
      </c>
      <c r="B51" s="8">
        <v>5.9055599999999995</v>
      </c>
      <c r="C51" s="6"/>
      <c r="D51" s="6"/>
      <c r="E51" s="6"/>
      <c r="F51" s="6"/>
      <c r="G51" s="6"/>
      <c r="H51" s="6"/>
      <c r="I51" s="6"/>
      <c r="J51" s="6"/>
      <c r="K51" s="6"/>
      <c r="L51" s="6">
        <v>6.3976899999999999</v>
      </c>
      <c r="M51" s="6"/>
      <c r="N51" s="6"/>
      <c r="O51" s="6"/>
      <c r="P51" s="6"/>
      <c r="Q51" s="4">
        <v>1.6345793362002434E-3</v>
      </c>
      <c r="R51" s="6">
        <v>0.242975</v>
      </c>
      <c r="S51" s="4"/>
    </row>
    <row r="52" spans="1:36" x14ac:dyDescent="0.25">
      <c r="A52">
        <v>1845</v>
      </c>
      <c r="B52" s="8">
        <v>7.9091199999999997</v>
      </c>
      <c r="C52" s="6"/>
      <c r="D52" s="6"/>
      <c r="E52" s="6"/>
      <c r="F52" s="6"/>
      <c r="G52" s="6"/>
      <c r="H52" s="6"/>
      <c r="I52" s="6"/>
      <c r="J52" s="6"/>
      <c r="K52" s="6"/>
      <c r="L52" s="6">
        <v>8.4034399999999998</v>
      </c>
      <c r="M52" s="6"/>
      <c r="N52" s="6"/>
      <c r="O52" s="6"/>
      <c r="P52" s="6"/>
      <c r="Q52" s="4">
        <v>1.4696217885103106E-3</v>
      </c>
      <c r="R52" s="6">
        <v>0.37509009999999993</v>
      </c>
      <c r="S52" s="4"/>
    </row>
    <row r="53" spans="1:36" x14ac:dyDescent="0.25">
      <c r="A53">
        <v>1846</v>
      </c>
      <c r="B53" s="8">
        <v>9.5785999999999998</v>
      </c>
      <c r="C53" s="6"/>
      <c r="D53" s="6"/>
      <c r="E53" s="6"/>
      <c r="F53" s="6"/>
      <c r="G53" s="6"/>
      <c r="H53" s="6"/>
      <c r="I53" s="6"/>
      <c r="J53" s="6"/>
      <c r="K53" s="6"/>
      <c r="L53" s="6">
        <v>8.6207399999999996</v>
      </c>
      <c r="M53" s="6"/>
      <c r="N53" s="6"/>
      <c r="O53" s="6"/>
      <c r="P53" s="6"/>
      <c r="Q53" s="4">
        <v>2.8492667328261128E-3</v>
      </c>
      <c r="R53" s="6">
        <v>0.44787869999999996</v>
      </c>
      <c r="S53" s="4"/>
    </row>
    <row r="54" spans="1:36" x14ac:dyDescent="0.25">
      <c r="A54">
        <v>1847</v>
      </c>
      <c r="B54" s="8">
        <v>11.256960000000001</v>
      </c>
      <c r="C54" s="6"/>
      <c r="D54" s="6"/>
      <c r="E54" s="6"/>
      <c r="F54" s="6"/>
      <c r="G54" s="6"/>
      <c r="H54" s="6"/>
      <c r="I54" s="6"/>
      <c r="J54" s="6"/>
      <c r="K54" s="6"/>
      <c r="L54" s="6">
        <v>10.318880000000002</v>
      </c>
      <c r="M54" s="6"/>
      <c r="N54" s="6"/>
      <c r="O54" s="6"/>
      <c r="P54" s="6"/>
      <c r="Q54" s="6">
        <v>5.3086338074760193E-3</v>
      </c>
      <c r="R54" s="6">
        <v>0.22049640000000001</v>
      </c>
      <c r="S54" s="4"/>
    </row>
    <row r="55" spans="1:36" x14ac:dyDescent="0.25">
      <c r="A55">
        <v>1848</v>
      </c>
      <c r="B55" s="8">
        <v>9.5191999999999997</v>
      </c>
      <c r="C55" s="6"/>
      <c r="D55" s="6"/>
      <c r="E55" s="6"/>
      <c r="F55" s="6"/>
      <c r="G55" s="6"/>
      <c r="H55" s="6"/>
      <c r="I55" s="6"/>
      <c r="J55" s="6"/>
      <c r="K55" s="6"/>
      <c r="L55" s="6">
        <v>10.947079999999998</v>
      </c>
      <c r="M55" s="6"/>
      <c r="N55" s="6"/>
      <c r="O55" s="6"/>
      <c r="P55" s="6"/>
      <c r="Q55" s="6">
        <v>7.7829970228250117E-3</v>
      </c>
      <c r="R55" s="6">
        <v>0.21421400000000002</v>
      </c>
      <c r="S55" s="4"/>
    </row>
    <row r="56" spans="1:36" x14ac:dyDescent="0.25">
      <c r="A56">
        <v>1849</v>
      </c>
      <c r="B56" s="8">
        <v>11.704000000000001</v>
      </c>
      <c r="C56" s="6"/>
      <c r="D56" s="6"/>
      <c r="E56" s="6"/>
      <c r="F56" s="6"/>
      <c r="G56" s="6"/>
      <c r="H56" s="6"/>
      <c r="I56" s="6"/>
      <c r="J56" s="6"/>
      <c r="K56" s="6"/>
      <c r="L56" s="6">
        <v>11.235840000000001</v>
      </c>
      <c r="M56" s="6"/>
      <c r="N56" s="6"/>
      <c r="O56" s="6"/>
      <c r="P56" s="6"/>
      <c r="Q56" s="6">
        <v>2.414378652552653E-3</v>
      </c>
      <c r="R56" s="6">
        <v>0.63062090000000004</v>
      </c>
      <c r="S56" s="4"/>
    </row>
    <row r="57" spans="1:36" x14ac:dyDescent="0.25">
      <c r="A57">
        <v>1850</v>
      </c>
      <c r="B57" s="8">
        <v>14.8809</v>
      </c>
      <c r="C57" s="8">
        <v>0.59460363475848454</v>
      </c>
      <c r="D57" s="8"/>
      <c r="E57" s="8">
        <v>0.56239105036117265</v>
      </c>
      <c r="F57" s="8">
        <v>0.31575293284849515</v>
      </c>
      <c r="G57" s="8">
        <v>0.44600000000000001</v>
      </c>
      <c r="H57" s="8">
        <v>1.1688479999999999</v>
      </c>
      <c r="I57" s="8"/>
      <c r="J57" s="8"/>
      <c r="K57" s="6"/>
      <c r="L57" s="8">
        <v>13.392810000000001</v>
      </c>
      <c r="M57" s="8">
        <v>0.14197027145351968</v>
      </c>
      <c r="N57" s="8"/>
      <c r="O57" s="8">
        <v>8.8879407883942774E-2</v>
      </c>
      <c r="P57" s="8">
        <v>6.7285237797795563E-2</v>
      </c>
      <c r="Q57" s="8">
        <v>6.6432903296945664E-3</v>
      </c>
      <c r="R57" s="8">
        <v>0.56007299999999993</v>
      </c>
      <c r="S57" s="10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1:36" x14ac:dyDescent="0.25">
      <c r="A58">
        <v>1851</v>
      </c>
      <c r="B58" s="6">
        <v>15.657599999999999</v>
      </c>
      <c r="C58" s="6">
        <v>1.0682970159562686</v>
      </c>
      <c r="D58" s="6"/>
      <c r="E58" s="6">
        <v>1.0104221464192442</v>
      </c>
      <c r="F58" s="6">
        <v>2.4467074261741475</v>
      </c>
      <c r="G58" s="6">
        <v>0.90500000000000003</v>
      </c>
      <c r="H58" s="6">
        <v>1.7194449999999999</v>
      </c>
      <c r="I58" s="6"/>
      <c r="J58" s="6"/>
      <c r="K58" s="6"/>
      <c r="L58" s="6">
        <v>14.091839999999999</v>
      </c>
      <c r="M58" s="6">
        <v>0.1891699816181768</v>
      </c>
      <c r="N58" s="6"/>
      <c r="O58" s="6">
        <v>0.11842842718762062</v>
      </c>
      <c r="P58" s="6">
        <v>0.13538843467968109</v>
      </c>
      <c r="Q58" s="6">
        <v>8.6827654647700977E-3</v>
      </c>
      <c r="R58" s="6">
        <v>0.41266680000000006</v>
      </c>
      <c r="S58" s="4"/>
    </row>
    <row r="59" spans="1:36" x14ac:dyDescent="0.25">
      <c r="A59">
        <v>1852</v>
      </c>
      <c r="B59" s="6">
        <v>25.586400000000001</v>
      </c>
      <c r="C59" s="6">
        <v>0.44019811137844128</v>
      </c>
      <c r="D59" s="6"/>
      <c r="E59" s="6">
        <v>0.41635042867788929</v>
      </c>
      <c r="F59" s="6">
        <v>0.23795202974081334</v>
      </c>
      <c r="G59" s="6">
        <v>0.29599999999999999</v>
      </c>
      <c r="H59" s="6">
        <v>1.7597461999999997</v>
      </c>
      <c r="I59" s="6"/>
      <c r="J59" s="6"/>
      <c r="K59" s="6"/>
      <c r="L59" s="6">
        <v>58.102450000000005</v>
      </c>
      <c r="M59" s="6">
        <v>0.165105659162434</v>
      </c>
      <c r="N59" s="6"/>
      <c r="O59" s="6">
        <v>0.10336314127179475</v>
      </c>
      <c r="P59" s="6">
        <v>0.1517605043204466</v>
      </c>
      <c r="Q59" s="6">
        <v>7.663027897232332E-3</v>
      </c>
      <c r="R59" s="6">
        <v>0.71566279999999993</v>
      </c>
      <c r="S59" s="4"/>
    </row>
    <row r="60" spans="1:36" x14ac:dyDescent="0.25">
      <c r="A60">
        <v>1853</v>
      </c>
      <c r="B60" s="6">
        <v>72.046499999999995</v>
      </c>
      <c r="C60" s="6">
        <v>0.76800974659587729</v>
      </c>
      <c r="D60" s="6"/>
      <c r="E60" s="6">
        <v>0.7264029057795971</v>
      </c>
      <c r="F60" s="6">
        <v>0.60108615108581065</v>
      </c>
      <c r="G60" s="6">
        <v>0.20799999999999996</v>
      </c>
      <c r="H60" s="6">
        <v>2.9228445999999999</v>
      </c>
      <c r="I60" s="6"/>
      <c r="J60" s="6"/>
      <c r="K60" s="6"/>
      <c r="L60" s="6">
        <v>69.164640000000006</v>
      </c>
      <c r="M60" s="6">
        <v>0.11212897491270732</v>
      </c>
      <c r="N60" s="6"/>
      <c r="O60" s="6">
        <v>7.0197491311677185E-2</v>
      </c>
      <c r="P60" s="6">
        <v>5.5990174041809511E-2</v>
      </c>
      <c r="Q60" s="6">
        <v>5.1886646818833388E-3</v>
      </c>
      <c r="R60" s="6">
        <v>1.4809730999999999</v>
      </c>
      <c r="S60" s="4"/>
    </row>
    <row r="61" spans="1:36" x14ac:dyDescent="0.25">
      <c r="A61">
        <v>1854</v>
      </c>
      <c r="B61" s="6">
        <v>103.11750000000001</v>
      </c>
      <c r="C61" s="6">
        <v>0.92715893395360971</v>
      </c>
      <c r="D61" s="6"/>
      <c r="E61" s="6">
        <v>0.87693020398320931</v>
      </c>
      <c r="F61" s="6">
        <v>1.0162401160862153</v>
      </c>
      <c r="G61" s="6">
        <v>0.46100000000000008</v>
      </c>
      <c r="H61" s="6">
        <v>4.3503966000000007</v>
      </c>
      <c r="I61" s="6"/>
      <c r="J61" s="6"/>
      <c r="K61" s="6"/>
      <c r="L61" s="6">
        <v>63.703700000000005</v>
      </c>
      <c r="M61" s="6">
        <v>0.14043463545569332</v>
      </c>
      <c r="N61" s="6"/>
      <c r="O61" s="6">
        <v>8.791803465548656E-2</v>
      </c>
      <c r="P61" s="6">
        <v>9.2864090238997082E-2</v>
      </c>
      <c r="Q61" s="6">
        <v>6.4783327820046319E-3</v>
      </c>
      <c r="R61" s="6">
        <v>1.5673146000000002</v>
      </c>
      <c r="S61" s="4"/>
    </row>
    <row r="62" spans="1:36" x14ac:dyDescent="0.25">
      <c r="A62">
        <v>1855</v>
      </c>
      <c r="B62" s="6">
        <v>68.021280000000004</v>
      </c>
      <c r="C62" s="6">
        <v>0.80065049046831038</v>
      </c>
      <c r="D62" s="6"/>
      <c r="E62" s="6">
        <v>0.75727534105901495</v>
      </c>
      <c r="F62" s="6">
        <v>0.91291359534935945</v>
      </c>
      <c r="G62" s="6">
        <v>0.46700000000000003</v>
      </c>
      <c r="H62" s="6">
        <v>3.9724805999999995</v>
      </c>
      <c r="I62" s="6"/>
      <c r="J62" s="6"/>
      <c r="K62" s="6"/>
      <c r="L62" s="6">
        <v>71.327870000000004</v>
      </c>
      <c r="M62" s="6">
        <v>0.1330529434312932</v>
      </c>
      <c r="N62" s="6"/>
      <c r="O62" s="6">
        <v>8.3296782546906173E-2</v>
      </c>
      <c r="P62" s="6">
        <v>9.5725821101621908E-2</v>
      </c>
      <c r="Q62" s="6">
        <v>6.1784099680229363E-3</v>
      </c>
      <c r="R62" s="6">
        <v>1.7883491999999999</v>
      </c>
      <c r="S62" s="4"/>
    </row>
    <row r="63" spans="1:36" x14ac:dyDescent="0.25">
      <c r="A63">
        <v>1856</v>
      </c>
      <c r="B63" s="6">
        <v>80.038560000000018</v>
      </c>
      <c r="C63" s="6">
        <v>0.66723690661883017</v>
      </c>
      <c r="D63" s="6"/>
      <c r="E63" s="6">
        <v>0.63108942296580717</v>
      </c>
      <c r="F63" s="6">
        <v>0.64151973800687301</v>
      </c>
      <c r="G63" s="6">
        <v>0.49399999999999999</v>
      </c>
      <c r="H63" s="6">
        <v>3.4902278999999998</v>
      </c>
      <c r="I63" s="6"/>
      <c r="J63" s="6"/>
      <c r="K63" s="6"/>
      <c r="L63" s="6">
        <v>78.109920000000002</v>
      </c>
      <c r="M63" s="6">
        <v>0.11631522324086009</v>
      </c>
      <c r="N63" s="6"/>
      <c r="O63" s="6">
        <v>7.2818260215279498E-2</v>
      </c>
      <c r="P63" s="6">
        <v>5.5614754870263891E-2</v>
      </c>
      <c r="Q63" s="6">
        <v>5.3986106516705256E-3</v>
      </c>
      <c r="R63" s="6">
        <v>1.5610302</v>
      </c>
      <c r="S63" s="4"/>
    </row>
    <row r="64" spans="1:36" x14ac:dyDescent="0.25">
      <c r="A64">
        <v>1857</v>
      </c>
      <c r="B64" s="6">
        <v>89.616239999999991</v>
      </c>
      <c r="C64" s="6">
        <v>0.65367406891717328</v>
      </c>
      <c r="D64" s="6"/>
      <c r="E64" s="6">
        <v>0.61826135045661179</v>
      </c>
      <c r="F64" s="6">
        <v>0.63828207436743123</v>
      </c>
      <c r="G64" s="6">
        <v>0.38300000000000001</v>
      </c>
      <c r="H64" s="6">
        <v>4.8543798000000002</v>
      </c>
      <c r="I64" s="6"/>
      <c r="J64" s="6"/>
      <c r="K64" s="6"/>
      <c r="L64" s="6">
        <v>76.339759999999998</v>
      </c>
      <c r="M64" s="6">
        <v>0.15166562111976592</v>
      </c>
      <c r="N64" s="6"/>
      <c r="O64" s="6">
        <v>9.4949107749564762E-2</v>
      </c>
      <c r="P64" s="6">
        <v>7.8794924911291045E-2</v>
      </c>
      <c r="Q64" s="6">
        <v>7.0481861285698541E-3</v>
      </c>
      <c r="R64" s="6">
        <v>1.8038934000000002</v>
      </c>
      <c r="S64" s="4"/>
    </row>
    <row r="65" spans="1:19" x14ac:dyDescent="0.25">
      <c r="A65">
        <v>1858</v>
      </c>
      <c r="B65" s="6">
        <v>85.756499999999988</v>
      </c>
      <c r="C65" s="6">
        <v>0.62914248468255107</v>
      </c>
      <c r="D65" s="6"/>
      <c r="E65" s="6">
        <v>0.59505876201240127</v>
      </c>
      <c r="F65" s="6">
        <v>0.41679729748796468</v>
      </c>
      <c r="G65" s="6">
        <v>0.33800000000000002</v>
      </c>
      <c r="H65" s="6">
        <v>5.5424074999999995</v>
      </c>
      <c r="I65" s="6"/>
      <c r="J65" s="6"/>
      <c r="K65" s="6"/>
      <c r="L65" s="6">
        <v>70.736999999999995</v>
      </c>
      <c r="M65" s="6">
        <v>0.1815967600608559</v>
      </c>
      <c r="N65" s="6"/>
      <c r="O65" s="6">
        <v>0.11368726947271859</v>
      </c>
      <c r="P65" s="6">
        <v>8.663778783015981E-2</v>
      </c>
      <c r="Q65" s="6">
        <v>8.4578233542838242E-3</v>
      </c>
      <c r="R65" s="6">
        <v>2.2247349999999999</v>
      </c>
      <c r="S65" s="4"/>
    </row>
    <row r="66" spans="1:19" x14ac:dyDescent="0.25">
      <c r="A66">
        <v>1859</v>
      </c>
      <c r="B66" s="6">
        <v>99.221519999999998</v>
      </c>
      <c r="C66" s="6">
        <v>0.90408438232524779</v>
      </c>
      <c r="D66" s="6"/>
      <c r="E66" s="6">
        <v>0.85510571356925746</v>
      </c>
      <c r="F66" s="6">
        <v>1.0876520141595236</v>
      </c>
      <c r="G66" s="6">
        <v>0.56200000000000006</v>
      </c>
      <c r="H66" s="6">
        <v>7.5831491999999994</v>
      </c>
      <c r="I66" s="6"/>
      <c r="J66" s="6"/>
      <c r="K66" s="6"/>
      <c r="L66" s="6">
        <v>82.684600000000003</v>
      </c>
      <c r="M66" s="6">
        <v>0.23984881147704842</v>
      </c>
      <c r="N66" s="6"/>
      <c r="O66" s="6">
        <v>0.15015552289569828</v>
      </c>
      <c r="P66" s="6">
        <v>0.16422011315554877</v>
      </c>
      <c r="Q66" s="6">
        <v>1.109714411732275E-2</v>
      </c>
      <c r="R66" s="6">
        <v>2.7428412</v>
      </c>
      <c r="S66" s="4"/>
    </row>
    <row r="67" spans="1:19" x14ac:dyDescent="0.25">
      <c r="A67">
        <v>1860</v>
      </c>
      <c r="B67" s="6">
        <v>93.736249999999998</v>
      </c>
      <c r="C67" s="6">
        <v>0.70498529158667789</v>
      </c>
      <c r="D67" s="6"/>
      <c r="E67" s="6">
        <v>0.66679279346425524</v>
      </c>
      <c r="F67" s="6">
        <v>1.0806692183782689</v>
      </c>
      <c r="G67" s="6">
        <v>0.34799999999999998</v>
      </c>
      <c r="H67" s="6">
        <v>7.5067164000000002</v>
      </c>
      <c r="I67" s="6"/>
      <c r="J67" s="6"/>
      <c r="K67" s="6"/>
      <c r="L67" s="6">
        <v>73.617250000000013</v>
      </c>
      <c r="M67" s="6">
        <v>0.21751728993446326</v>
      </c>
      <c r="N67" s="6"/>
      <c r="O67" s="6">
        <v>0.13617504380291653</v>
      </c>
      <c r="P67" s="6">
        <v>0.15825345993231502</v>
      </c>
      <c r="Q67" s="6">
        <v>1.0152387253280406E-2</v>
      </c>
      <c r="R67" s="6">
        <v>2.8562376999999999</v>
      </c>
      <c r="S67" s="4"/>
    </row>
    <row r="68" spans="1:19" x14ac:dyDescent="0.25">
      <c r="A68">
        <v>1861</v>
      </c>
      <c r="B68" s="6">
        <v>80.704624999999993</v>
      </c>
      <c r="C68" s="6">
        <v>0.43498889755898534</v>
      </c>
      <c r="D68" s="6"/>
      <c r="E68" s="6">
        <v>0.4114234234256095</v>
      </c>
      <c r="F68" s="6">
        <v>0.31246950022940434</v>
      </c>
      <c r="G68" s="6">
        <v>0.23599999999999999</v>
      </c>
      <c r="H68" s="6">
        <v>12.094154200000002</v>
      </c>
      <c r="I68" s="6"/>
      <c r="J68" s="6"/>
      <c r="K68" s="6"/>
      <c r="L68" s="6">
        <v>79.607225</v>
      </c>
      <c r="M68" s="6">
        <v>0.18717079865037953</v>
      </c>
      <c r="N68" s="6"/>
      <c r="O68" s="6">
        <v>0.11717685390674774</v>
      </c>
      <c r="P68" s="6">
        <v>8.7271970435196661E-2</v>
      </c>
      <c r="Q68" s="6">
        <v>8.8027345903627739E-3</v>
      </c>
      <c r="R68" s="6">
        <v>6.6483903</v>
      </c>
      <c r="S68" s="4"/>
    </row>
    <row r="69" spans="1:19" x14ac:dyDescent="0.25">
      <c r="A69">
        <v>1862</v>
      </c>
      <c r="B69" s="6">
        <v>94.1935</v>
      </c>
      <c r="C69" s="6">
        <v>0.57274268770059111</v>
      </c>
      <c r="D69" s="6"/>
      <c r="E69" s="6">
        <v>0.54171441762788597</v>
      </c>
      <c r="F69" s="6">
        <v>0.46051278225596498</v>
      </c>
      <c r="G69" s="6">
        <v>0.42099999999999999</v>
      </c>
      <c r="H69" s="6">
        <v>22.432861800000001</v>
      </c>
      <c r="I69" s="6"/>
      <c r="J69" s="6"/>
      <c r="K69" s="6"/>
      <c r="L69" s="6">
        <v>82.625074999999995</v>
      </c>
      <c r="M69" s="6">
        <v>0.2513073237569487</v>
      </c>
      <c r="N69" s="6"/>
      <c r="O69" s="6">
        <v>0.15732903729587211</v>
      </c>
      <c r="P69" s="6">
        <v>0.12876147085958542</v>
      </c>
      <c r="Q69" s="6">
        <v>1.1771970448781564E-2</v>
      </c>
      <c r="R69" s="6">
        <v>11.745004600000001</v>
      </c>
      <c r="S69" s="4"/>
    </row>
    <row r="70" spans="1:19" x14ac:dyDescent="0.25">
      <c r="A70">
        <v>1863</v>
      </c>
      <c r="B70" s="6">
        <v>97.165625000000006</v>
      </c>
      <c r="C70" s="6">
        <v>0.67373368009121537</v>
      </c>
      <c r="D70" s="6"/>
      <c r="E70" s="6">
        <v>0.63723423447301841</v>
      </c>
      <c r="F70" s="6">
        <v>0.437371427382242</v>
      </c>
      <c r="G70" s="6">
        <v>0.56699999999999995</v>
      </c>
      <c r="H70" s="6">
        <v>34.066332500000001</v>
      </c>
      <c r="I70" s="6"/>
      <c r="J70" s="6"/>
      <c r="K70" s="6"/>
      <c r="L70" s="6">
        <v>88.477875000000012</v>
      </c>
      <c r="M70" s="6">
        <v>0.30706343324703828</v>
      </c>
      <c r="N70" s="6"/>
      <c r="O70" s="6">
        <v>0.19223472527304752</v>
      </c>
      <c r="P70" s="6">
        <v>0.12149614624510578</v>
      </c>
      <c r="Q70" s="6">
        <v>1.43962950711214E-2</v>
      </c>
      <c r="R70" s="6">
        <v>16.899810500000001</v>
      </c>
      <c r="S70" s="4"/>
    </row>
    <row r="71" spans="1:19" x14ac:dyDescent="0.25">
      <c r="A71">
        <v>1864</v>
      </c>
      <c r="B71" s="6">
        <v>93.736249999999998</v>
      </c>
      <c r="C71" s="6">
        <v>0.98160542503020953</v>
      </c>
      <c r="D71" s="6"/>
      <c r="E71" s="6">
        <v>0.92842706258799568</v>
      </c>
      <c r="F71" s="6">
        <v>0.81503981027323202</v>
      </c>
      <c r="G71" s="6">
        <v>0.7370000000000001</v>
      </c>
      <c r="H71" s="6">
        <v>33.945100000000004</v>
      </c>
      <c r="I71" s="6"/>
      <c r="J71" s="6"/>
      <c r="K71" s="6"/>
      <c r="L71" s="6">
        <v>86.786050000000003</v>
      </c>
      <c r="M71" s="6">
        <v>0.48584466714326735</v>
      </c>
      <c r="N71" s="6"/>
      <c r="O71" s="6">
        <v>0.30415935601984317</v>
      </c>
      <c r="P71" s="6">
        <v>0.26850894941968262</v>
      </c>
      <c r="Q71" s="6">
        <v>2.2779137721909797E-2</v>
      </c>
      <c r="R71" s="6">
        <v>16.4924693</v>
      </c>
      <c r="S71" s="4"/>
    </row>
    <row r="72" spans="1:19" x14ac:dyDescent="0.25">
      <c r="A72">
        <v>1865</v>
      </c>
      <c r="B72" s="6">
        <v>94.467849999999999</v>
      </c>
      <c r="C72" s="6">
        <v>1.118165063711084</v>
      </c>
      <c r="D72" s="6"/>
      <c r="E72" s="6">
        <v>1.0575885983493332</v>
      </c>
      <c r="F72" s="6">
        <v>1.0319252518645119</v>
      </c>
      <c r="G72" s="6">
        <v>0.85399999999999998</v>
      </c>
      <c r="H72" s="6">
        <v>27.131833499999999</v>
      </c>
      <c r="I72" s="6"/>
      <c r="J72" s="6"/>
      <c r="K72" s="6"/>
      <c r="L72" s="6">
        <v>90.123975000000002</v>
      </c>
      <c r="M72" s="6">
        <v>0.55035112015204568</v>
      </c>
      <c r="N72" s="6"/>
      <c r="O72" s="6">
        <v>0.34454312995656222</v>
      </c>
      <c r="P72" s="6">
        <v>0.31884805629516721</v>
      </c>
      <c r="Q72" s="6">
        <v>2.5748373580328596E-2</v>
      </c>
      <c r="R72" s="6">
        <v>18.0054509</v>
      </c>
      <c r="S72" s="4"/>
    </row>
    <row r="73" spans="1:19" x14ac:dyDescent="0.25">
      <c r="A73">
        <v>1866</v>
      </c>
      <c r="B73" s="6">
        <v>97.43997499999999</v>
      </c>
      <c r="C73" s="6">
        <v>1.1459731412878185</v>
      </c>
      <c r="D73" s="6"/>
      <c r="E73" s="6">
        <v>1.0838901764808846</v>
      </c>
      <c r="F73" s="6">
        <v>1.1025850655360259</v>
      </c>
      <c r="G73" s="6">
        <v>0.71699999999999997</v>
      </c>
      <c r="H73" s="6">
        <v>28.586623499999998</v>
      </c>
      <c r="I73" s="6"/>
      <c r="J73" s="6"/>
      <c r="K73" s="6"/>
      <c r="L73" s="6">
        <v>86.786050000000003</v>
      </c>
      <c r="M73" s="6">
        <v>0.59470237866762865</v>
      </c>
      <c r="N73" s="6"/>
      <c r="O73" s="6">
        <v>0.37230889778538018</v>
      </c>
      <c r="P73" s="6">
        <v>0.43338078009346098</v>
      </c>
      <c r="Q73" s="6">
        <v>2.7817840996802297E-2</v>
      </c>
      <c r="R73" s="6">
        <v>23.373626000000002</v>
      </c>
      <c r="S73" s="4"/>
    </row>
    <row r="74" spans="1:19" x14ac:dyDescent="0.25">
      <c r="A74">
        <v>1867</v>
      </c>
      <c r="B74" s="6">
        <v>72.977100000000007</v>
      </c>
      <c r="C74" s="6">
        <v>1.1265425854003852</v>
      </c>
      <c r="D74" s="6"/>
      <c r="E74" s="6">
        <v>1.0655122687523626</v>
      </c>
      <c r="F74" s="6">
        <v>1.0781407686526463</v>
      </c>
      <c r="G74" s="6">
        <v>0.752</v>
      </c>
      <c r="H74" s="6">
        <v>25.919508499999999</v>
      </c>
      <c r="I74" s="6"/>
      <c r="J74" s="6"/>
      <c r="K74" s="6"/>
      <c r="L74" s="6">
        <v>84.042549999999991</v>
      </c>
      <c r="M74" s="6">
        <v>0.51089710776823005</v>
      </c>
      <c r="N74" s="6"/>
      <c r="O74" s="6">
        <v>0.31984324579477608</v>
      </c>
      <c r="P74" s="6">
        <v>0.28488618567977897</v>
      </c>
      <c r="Q74" s="6">
        <v>2.385885985224391E-2</v>
      </c>
      <c r="R74" s="6">
        <v>22.520149200000002</v>
      </c>
      <c r="S74" s="4"/>
    </row>
    <row r="75" spans="1:19" x14ac:dyDescent="0.25">
      <c r="A75">
        <v>1868</v>
      </c>
      <c r="B75" s="6">
        <v>84.316900000000004</v>
      </c>
      <c r="C75" s="6">
        <v>1.1133471443772494</v>
      </c>
      <c r="D75" s="6"/>
      <c r="E75" s="6">
        <v>1.0530316892483469</v>
      </c>
      <c r="F75" s="6">
        <v>0.99926831924176152</v>
      </c>
      <c r="G75" s="6">
        <v>0.68</v>
      </c>
      <c r="H75" s="6">
        <v>24.1786098</v>
      </c>
      <c r="I75" s="6"/>
      <c r="J75" s="6"/>
      <c r="K75" s="6"/>
      <c r="L75" s="6">
        <v>98.994624999999999</v>
      </c>
      <c r="M75" s="6">
        <v>0.57358691796810668</v>
      </c>
      <c r="N75" s="6"/>
      <c r="O75" s="6">
        <v>0.35908972432775532</v>
      </c>
      <c r="P75" s="6">
        <v>0.28382025370240244</v>
      </c>
      <c r="Q75" s="6">
        <v>2.6813099569963614E-2</v>
      </c>
      <c r="R75" s="6">
        <v>21.477549700000001</v>
      </c>
      <c r="S75" s="4"/>
    </row>
    <row r="76" spans="1:19" x14ac:dyDescent="0.25">
      <c r="A76">
        <v>1869</v>
      </c>
      <c r="B76" s="6">
        <v>91.038475000000005</v>
      </c>
      <c r="C76" s="6">
        <v>1.1732482673452511</v>
      </c>
      <c r="D76" s="6"/>
      <c r="E76" s="6">
        <v>1.1096876756811771</v>
      </c>
      <c r="F76" s="6">
        <v>1.1741923365228939</v>
      </c>
      <c r="G76" s="6">
        <v>0.67200000000000004</v>
      </c>
      <c r="H76" s="6">
        <v>24.1301168</v>
      </c>
      <c r="I76" s="6"/>
      <c r="J76" s="6"/>
      <c r="K76" s="6"/>
      <c r="L76" s="6">
        <v>91.770075000000006</v>
      </c>
      <c r="M76" s="6">
        <v>0.72570285440989568</v>
      </c>
      <c r="N76" s="6"/>
      <c r="O76" s="6">
        <v>0.4543207485572473</v>
      </c>
      <c r="P76" s="6">
        <v>0.50578954001599219</v>
      </c>
      <c r="Q76" s="6">
        <v>3.3921270261329808E-2</v>
      </c>
      <c r="R76" s="6">
        <v>20.4882925</v>
      </c>
      <c r="S76" s="4"/>
    </row>
    <row r="77" spans="1:19" x14ac:dyDescent="0.25">
      <c r="A77">
        <v>1870</v>
      </c>
      <c r="B77" s="6">
        <v>81.527674999999988</v>
      </c>
      <c r="C77" s="6">
        <v>1.1087954692693016</v>
      </c>
      <c r="D77" s="6"/>
      <c r="E77" s="6">
        <v>1.0487266006225409</v>
      </c>
      <c r="F77" s="6">
        <v>1.261397775854239</v>
      </c>
      <c r="G77" s="6">
        <v>0.64400000000000002</v>
      </c>
      <c r="H77" s="6">
        <v>22.495902700000002</v>
      </c>
      <c r="I77" s="6"/>
      <c r="J77" s="6"/>
      <c r="K77" s="6"/>
      <c r="L77" s="6">
        <v>82.350725000000011</v>
      </c>
      <c r="M77" s="6">
        <v>0.65185583718320939</v>
      </c>
      <c r="N77" s="6"/>
      <c r="O77" s="6">
        <v>0.40808938548450668</v>
      </c>
      <c r="P77" s="6">
        <v>0.46317318937908913</v>
      </c>
      <c r="Q77" s="6">
        <v>3.0502150181938473E-2</v>
      </c>
      <c r="R77" s="6">
        <v>23.383324600000002</v>
      </c>
      <c r="S77" s="4"/>
    </row>
    <row r="78" spans="1:19" x14ac:dyDescent="0.25">
      <c r="A78">
        <v>1871</v>
      </c>
      <c r="B78" s="6">
        <v>77.823949999999996</v>
      </c>
      <c r="C78" s="6">
        <v>0.92185298367518309</v>
      </c>
      <c r="D78" s="6"/>
      <c r="E78" s="6">
        <v>0.87191170295863996</v>
      </c>
      <c r="F78" s="6">
        <v>0.80981861605759753</v>
      </c>
      <c r="G78" s="6">
        <v>0.47899999999999998</v>
      </c>
      <c r="H78" s="6">
        <v>19.775445400000002</v>
      </c>
      <c r="I78" s="6"/>
      <c r="J78" s="6"/>
      <c r="K78" s="6"/>
      <c r="L78" s="6">
        <v>99.360425000000006</v>
      </c>
      <c r="M78" s="6">
        <v>0.57433256958848133</v>
      </c>
      <c r="N78" s="6"/>
      <c r="O78" s="6">
        <v>0.35955653384941139</v>
      </c>
      <c r="P78" s="6">
        <v>0.41926515730303798</v>
      </c>
      <c r="Q78" s="6">
        <v>2.723299150953799E-2</v>
      </c>
      <c r="R78" s="6">
        <v>25.614002600000003</v>
      </c>
      <c r="S78" s="4"/>
    </row>
    <row r="79" spans="1:19" x14ac:dyDescent="0.25">
      <c r="A79">
        <v>1872</v>
      </c>
      <c r="B79" s="6">
        <v>86.100174999999993</v>
      </c>
      <c r="C79" s="6">
        <v>0.99253633954071074</v>
      </c>
      <c r="D79" s="6"/>
      <c r="E79" s="6">
        <v>0.93876579604606791</v>
      </c>
      <c r="F79" s="6">
        <v>1.1376956757613883</v>
      </c>
      <c r="G79" s="6">
        <v>0.67800000000000005</v>
      </c>
      <c r="H79" s="6">
        <v>24.939949900000002</v>
      </c>
      <c r="I79" s="6"/>
      <c r="J79" s="6"/>
      <c r="K79" s="6"/>
      <c r="L79" s="6">
        <v>102.9727</v>
      </c>
      <c r="M79" s="6">
        <v>0.49254039931775617</v>
      </c>
      <c r="N79" s="6"/>
      <c r="O79" s="6">
        <v>0.30835116818534192</v>
      </c>
      <c r="P79" s="6">
        <v>0.2316074931627671</v>
      </c>
      <c r="Q79" s="6">
        <v>2.3318998787076856E-2</v>
      </c>
      <c r="R79" s="6">
        <v>25.167867000000005</v>
      </c>
      <c r="S79" s="4"/>
    </row>
    <row r="80" spans="1:19" x14ac:dyDescent="0.25">
      <c r="A80">
        <v>1873</v>
      </c>
      <c r="B80" s="6">
        <v>112.34632500000001</v>
      </c>
      <c r="C80" s="6">
        <v>0.81898805343530678</v>
      </c>
      <c r="D80" s="6"/>
      <c r="E80" s="6">
        <v>0.7746194686344583</v>
      </c>
      <c r="F80" s="6">
        <v>0.84197026759903826</v>
      </c>
      <c r="G80" s="6">
        <v>0.53800000000000003</v>
      </c>
      <c r="H80" s="6">
        <v>31.350724500000002</v>
      </c>
      <c r="I80" s="6"/>
      <c r="J80" s="6"/>
      <c r="K80" s="6"/>
      <c r="L80" s="6">
        <v>120.576825</v>
      </c>
      <c r="M80" s="6">
        <v>0.65574479233869687</v>
      </c>
      <c r="N80" s="6"/>
      <c r="O80" s="6">
        <v>0.41052403626011014</v>
      </c>
      <c r="P80" s="6">
        <v>0.47357819816446278</v>
      </c>
      <c r="Q80" s="6">
        <v>3.0952034402911017E-2</v>
      </c>
      <c r="R80" s="6">
        <v>27.204573000000003</v>
      </c>
      <c r="S80" s="4"/>
    </row>
    <row r="81" spans="1:19" x14ac:dyDescent="0.25">
      <c r="A81">
        <v>1874</v>
      </c>
      <c r="B81" s="6">
        <v>112.254875</v>
      </c>
      <c r="C81" s="6">
        <v>0.75347564538008327</v>
      </c>
      <c r="D81" s="6"/>
      <c r="E81" s="6">
        <v>0.71265618784685902</v>
      </c>
      <c r="F81" s="6">
        <v>0.55533275678545579</v>
      </c>
      <c r="G81" s="6">
        <v>0.40699999999999997</v>
      </c>
      <c r="H81" s="6">
        <v>39.386014600000003</v>
      </c>
      <c r="I81" s="6"/>
      <c r="J81" s="6"/>
      <c r="K81" s="6"/>
      <c r="L81" s="6">
        <v>117.28462499999999</v>
      </c>
      <c r="M81" s="6">
        <v>0.56843621592128901</v>
      </c>
      <c r="N81" s="6"/>
      <c r="O81" s="6">
        <v>0.35586516651420191</v>
      </c>
      <c r="P81" s="6">
        <v>0.31104469267949836</v>
      </c>
      <c r="Q81" s="6">
        <v>2.6588157459477339E-2</v>
      </c>
      <c r="R81" s="6">
        <v>25.463674300000005</v>
      </c>
      <c r="S81" s="4"/>
    </row>
    <row r="82" spans="1:19" x14ac:dyDescent="0.25">
      <c r="A82">
        <v>1875</v>
      </c>
      <c r="B82" s="6">
        <v>114.03815</v>
      </c>
      <c r="C82" s="6">
        <v>0.96693212224733127</v>
      </c>
      <c r="D82" s="6"/>
      <c r="E82" s="6">
        <v>0.91454868431726377</v>
      </c>
      <c r="F82" s="6">
        <v>0.84950849472712098</v>
      </c>
      <c r="G82" s="6">
        <v>0.53900000000000003</v>
      </c>
      <c r="H82" s="6">
        <v>38.935029700000001</v>
      </c>
      <c r="I82" s="6"/>
      <c r="J82" s="6"/>
      <c r="K82" s="6"/>
      <c r="L82" s="6">
        <v>114.22105000000001</v>
      </c>
      <c r="M82" s="6">
        <v>0.65034592581834938</v>
      </c>
      <c r="N82" s="6"/>
      <c r="O82" s="6">
        <v>0.40714411696672476</v>
      </c>
      <c r="P82" s="6">
        <v>0.37883801073927159</v>
      </c>
      <c r="Q82" s="6">
        <v>3.0412173337743962E-2</v>
      </c>
      <c r="R82" s="6">
        <v>28.266569700000002</v>
      </c>
      <c r="S82" s="4"/>
    </row>
    <row r="83" spans="1:19" x14ac:dyDescent="0.25">
      <c r="A83">
        <v>1876</v>
      </c>
      <c r="B83" s="6">
        <v>109.55710000000001</v>
      </c>
      <c r="C83" s="6">
        <v>0.77263619629472713</v>
      </c>
      <c r="D83" s="6"/>
      <c r="E83" s="6">
        <v>0.9845684901068662</v>
      </c>
      <c r="F83" s="6">
        <v>0.69711325927689316</v>
      </c>
      <c r="G83" s="6">
        <v>0.443</v>
      </c>
      <c r="H83" s="6">
        <v>33.484416500000002</v>
      </c>
      <c r="I83" s="6"/>
      <c r="J83" s="6"/>
      <c r="K83" s="6"/>
      <c r="L83" s="6">
        <v>107.63664999999999</v>
      </c>
      <c r="M83" s="6">
        <v>0.71376890012560856</v>
      </c>
      <c r="N83" s="6"/>
      <c r="O83" s="6">
        <v>0.43756520539513588</v>
      </c>
      <c r="P83" s="6">
        <v>0.36943296280388582</v>
      </c>
      <c r="Q83" s="6">
        <v>3.2706582864703938E-2</v>
      </c>
      <c r="R83" s="6">
        <v>27.514928200000003</v>
      </c>
      <c r="S83" s="4"/>
    </row>
    <row r="84" spans="1:19" x14ac:dyDescent="0.25">
      <c r="A84">
        <v>1877</v>
      </c>
      <c r="B84" s="6">
        <v>117.9705</v>
      </c>
      <c r="C84" s="6">
        <v>1.0827305707964925</v>
      </c>
      <c r="D84" s="6"/>
      <c r="E84" s="6">
        <v>1.3905561238597515</v>
      </c>
      <c r="F84" s="6">
        <v>1.1668298382522089</v>
      </c>
      <c r="G84" s="6">
        <v>0.66300000000000003</v>
      </c>
      <c r="H84" s="6">
        <v>33.814168899999999</v>
      </c>
      <c r="I84" s="6"/>
      <c r="J84" s="6"/>
      <c r="K84" s="6"/>
      <c r="L84" s="6">
        <v>105.670475</v>
      </c>
      <c r="M84" s="6">
        <v>0.97203486805688721</v>
      </c>
      <c r="N84" s="6"/>
      <c r="O84" s="6">
        <v>0.51826265723377296</v>
      </c>
      <c r="P84" s="6">
        <v>0.38621912658311514</v>
      </c>
      <c r="Q84" s="6">
        <v>3.8660050722240595E-2</v>
      </c>
      <c r="R84" s="6">
        <v>30.681521100000001</v>
      </c>
      <c r="S84" s="4"/>
    </row>
    <row r="85" spans="1:19" x14ac:dyDescent="0.25">
      <c r="A85">
        <v>1878</v>
      </c>
      <c r="B85" s="6">
        <v>119.70805</v>
      </c>
      <c r="C85" s="6">
        <v>1.1133080765292289</v>
      </c>
      <c r="D85" s="6"/>
      <c r="E85" s="6">
        <v>1.657179367730482</v>
      </c>
      <c r="F85" s="6">
        <v>1.3589601632633634</v>
      </c>
      <c r="G85" s="6">
        <v>0.88000000000000012</v>
      </c>
      <c r="H85" s="6">
        <v>42.460470800000003</v>
      </c>
      <c r="I85" s="6"/>
      <c r="J85" s="6"/>
      <c r="K85" s="6"/>
      <c r="L85" s="6">
        <v>108.68832499999999</v>
      </c>
      <c r="M85" s="6">
        <v>1.3305854388958476</v>
      </c>
      <c r="N85" s="6"/>
      <c r="O85" s="6">
        <v>0.69545023380712545</v>
      </c>
      <c r="P85" s="6">
        <v>0.65501203471022706</v>
      </c>
      <c r="Q85" s="6">
        <v>5.191663910023156E-2</v>
      </c>
      <c r="R85" s="6">
        <v>29.168539500000001</v>
      </c>
      <c r="S85" s="4"/>
    </row>
    <row r="86" spans="1:19" x14ac:dyDescent="0.25">
      <c r="A86">
        <v>1879</v>
      </c>
      <c r="B86" s="6">
        <v>116.5463</v>
      </c>
      <c r="C86" s="6">
        <v>1.1599906966939046</v>
      </c>
      <c r="D86" s="6"/>
      <c r="E86" s="6">
        <v>2.0225920263436437</v>
      </c>
      <c r="F86" s="6">
        <v>2.0573165314126061</v>
      </c>
      <c r="G86" s="6">
        <v>1.2869999999999999</v>
      </c>
      <c r="H86" s="6">
        <v>40.648062500000002</v>
      </c>
      <c r="I86" s="6"/>
      <c r="J86" s="6"/>
      <c r="K86" s="6"/>
      <c r="L86" s="6">
        <v>101.8758</v>
      </c>
      <c r="M86" s="6">
        <v>1.1670184664225456</v>
      </c>
      <c r="N86" s="6"/>
      <c r="O86" s="6">
        <v>0.73902446722680126</v>
      </c>
      <c r="P86" s="6">
        <v>0.56035083621153103</v>
      </c>
      <c r="Q86" s="6">
        <v>5.5545705149410075E-2</v>
      </c>
      <c r="R86" s="6">
        <v>27.873650500000004</v>
      </c>
      <c r="S86" s="4"/>
    </row>
    <row r="87" spans="1:19" x14ac:dyDescent="0.25">
      <c r="A87">
        <v>1880</v>
      </c>
      <c r="B87" s="6">
        <v>109.866542</v>
      </c>
      <c r="C87" s="6">
        <v>1.9360534011929851</v>
      </c>
      <c r="D87" s="6"/>
      <c r="E87" s="6">
        <v>1.984766367288326</v>
      </c>
      <c r="F87" s="6">
        <v>1.5997773048411561</v>
      </c>
      <c r="G87" s="6">
        <v>0.875</v>
      </c>
      <c r="H87" s="6">
        <v>29.851808999999999</v>
      </c>
      <c r="I87" s="6"/>
      <c r="J87" s="6"/>
      <c r="K87" s="6"/>
      <c r="L87" s="6">
        <v>130.556318</v>
      </c>
      <c r="M87" s="6">
        <v>1.5819648052434163</v>
      </c>
      <c r="N87" s="6"/>
      <c r="O87" s="6">
        <v>0.97286266258042231</v>
      </c>
      <c r="P87" s="6">
        <v>0.70274595194154243</v>
      </c>
      <c r="Q87" s="6">
        <v>7.3121182048737451E-2</v>
      </c>
      <c r="R87" s="6">
        <v>30.772264</v>
      </c>
      <c r="S87" s="4"/>
    </row>
    <row r="88" spans="1:19" x14ac:dyDescent="0.25">
      <c r="A88">
        <v>1881</v>
      </c>
      <c r="B88" s="6">
        <v>139.96042200000002</v>
      </c>
      <c r="C88" s="6">
        <v>2.6056662376504458</v>
      </c>
      <c r="D88" s="6"/>
      <c r="E88" s="6">
        <v>2.454779358663036</v>
      </c>
      <c r="F88" s="6">
        <v>2.2342736458168293</v>
      </c>
      <c r="G88" s="6">
        <v>1.1519999999999999</v>
      </c>
      <c r="H88" s="6">
        <v>36.013581500000001</v>
      </c>
      <c r="I88" s="6"/>
      <c r="J88" s="6"/>
      <c r="K88" s="6"/>
      <c r="L88" s="6">
        <v>132.54593800000001</v>
      </c>
      <c r="M88" s="6">
        <v>1.1965365419001597</v>
      </c>
      <c r="N88" s="6"/>
      <c r="O88" s="6">
        <v>1.3426348925107745</v>
      </c>
      <c r="P88" s="6">
        <v>1.0957261477395659</v>
      </c>
      <c r="Q88" s="6">
        <v>0.10102899988973427</v>
      </c>
      <c r="R88" s="6">
        <v>29.271599500000001</v>
      </c>
      <c r="S88" s="4"/>
    </row>
    <row r="89" spans="1:19" x14ac:dyDescent="0.25">
      <c r="A89">
        <v>1882</v>
      </c>
      <c r="B89" s="6">
        <v>175.24384000000001</v>
      </c>
      <c r="C89" s="6">
        <v>2.6482624522460929</v>
      </c>
      <c r="D89" s="6"/>
      <c r="E89" s="6">
        <v>2.7195529417952709</v>
      </c>
      <c r="F89" s="6">
        <v>2.399619862283469</v>
      </c>
      <c r="G89" s="6">
        <v>1.1759999999999999</v>
      </c>
      <c r="H89" s="6">
        <v>41.924108199999999</v>
      </c>
      <c r="I89" s="6"/>
      <c r="J89" s="6"/>
      <c r="K89" s="6"/>
      <c r="L89" s="6">
        <v>132.57366400000001</v>
      </c>
      <c r="M89" s="6">
        <v>1.319942923643979</v>
      </c>
      <c r="N89" s="6"/>
      <c r="O89" s="6">
        <v>1.6589098597427567</v>
      </c>
      <c r="P89" s="6">
        <v>1.6953378903170286</v>
      </c>
      <c r="Q89" s="6">
        <v>0.1232532804057779</v>
      </c>
      <c r="R89" s="6">
        <v>32.423128400000003</v>
      </c>
      <c r="S89" s="4"/>
    </row>
    <row r="90" spans="1:19" x14ac:dyDescent="0.25">
      <c r="A90">
        <v>1883</v>
      </c>
      <c r="B90" s="6">
        <v>172.08848</v>
      </c>
      <c r="C90" s="6">
        <v>3.9251363067779828</v>
      </c>
      <c r="D90" s="6"/>
      <c r="E90" s="6">
        <v>3.0689770876474123</v>
      </c>
      <c r="F90" s="6">
        <v>3.7201319931709809</v>
      </c>
      <c r="G90" s="6">
        <v>1.3080000000000001</v>
      </c>
      <c r="H90" s="6">
        <v>38.665925999999999</v>
      </c>
      <c r="I90" s="6"/>
      <c r="J90" s="6"/>
      <c r="K90" s="6"/>
      <c r="L90" s="6">
        <v>145.92326399999999</v>
      </c>
      <c r="M90" s="6">
        <v>2.4283018598797215</v>
      </c>
      <c r="N90" s="6"/>
      <c r="O90" s="6">
        <v>1.6163312404661214</v>
      </c>
      <c r="P90" s="6">
        <v>1.6012026753786928</v>
      </c>
      <c r="Q90" s="6">
        <v>0.12029904068805822</v>
      </c>
      <c r="R90" s="6">
        <v>34.408504000000001</v>
      </c>
      <c r="S90" s="4"/>
    </row>
    <row r="91" spans="1:19" x14ac:dyDescent="0.25">
      <c r="A91">
        <v>1884</v>
      </c>
      <c r="B91" s="6">
        <v>179.12777400000002</v>
      </c>
      <c r="C91" s="6">
        <v>3.62359923477177</v>
      </c>
      <c r="D91" s="6"/>
      <c r="E91" s="6">
        <v>2.5343035745389093</v>
      </c>
      <c r="F91" s="6">
        <v>2.6322829671773098</v>
      </c>
      <c r="G91" s="6">
        <v>1.27</v>
      </c>
      <c r="H91" s="6">
        <v>37.194669399999995</v>
      </c>
      <c r="I91" s="6"/>
      <c r="J91" s="6"/>
      <c r="K91" s="6"/>
      <c r="L91" s="6">
        <v>139.031046</v>
      </c>
      <c r="M91" s="6">
        <v>2.1775931513263727</v>
      </c>
      <c r="N91" s="6"/>
      <c r="O91" s="6">
        <v>1.633217859147297</v>
      </c>
      <c r="P91" s="6">
        <v>1.74422557975217</v>
      </c>
      <c r="Q91" s="6">
        <v>0.12139375895909141</v>
      </c>
      <c r="R91" s="6">
        <v>34.423149599999995</v>
      </c>
      <c r="S91" s="4"/>
    </row>
    <row r="92" spans="1:19" x14ac:dyDescent="0.25">
      <c r="A92">
        <v>1885</v>
      </c>
      <c r="B92" s="6">
        <v>179.45291</v>
      </c>
      <c r="C92" s="6">
        <v>2.4566883905810073</v>
      </c>
      <c r="D92" s="6"/>
      <c r="E92" s="6">
        <v>2.4410771161084845</v>
      </c>
      <c r="F92" s="6">
        <v>2.577633725264902</v>
      </c>
      <c r="G92" s="6">
        <v>0.89</v>
      </c>
      <c r="H92" s="6">
        <v>36.318024000000001</v>
      </c>
      <c r="I92" s="6"/>
      <c r="J92" s="6"/>
      <c r="K92" s="6"/>
      <c r="L92" s="6">
        <v>129.84289500000003</v>
      </c>
      <c r="M92" s="6">
        <v>2.2573794482773648</v>
      </c>
      <c r="N92" s="6"/>
      <c r="O92" s="6">
        <v>1.5299681497924915</v>
      </c>
      <c r="P92" s="6">
        <v>1.7192542913738258</v>
      </c>
      <c r="Q92" s="6">
        <v>0.13600000000000001</v>
      </c>
      <c r="R92" s="6">
        <v>33.360720000000001</v>
      </c>
      <c r="S92" s="4"/>
    </row>
    <row r="93" spans="1:19" x14ac:dyDescent="0.25">
      <c r="A93">
        <v>1886</v>
      </c>
      <c r="B93" s="6">
        <v>165.20219400000002</v>
      </c>
      <c r="C93" s="6">
        <v>1.8842284791075621</v>
      </c>
      <c r="D93" s="6"/>
      <c r="E93" s="6">
        <v>2.3143256681168429</v>
      </c>
      <c r="F93" s="6">
        <v>2.2815938514066287</v>
      </c>
      <c r="G93" s="6">
        <v>0.87600000000000011</v>
      </c>
      <c r="H93" s="6">
        <v>32.858202599999998</v>
      </c>
      <c r="I93" s="6"/>
      <c r="J93" s="6"/>
      <c r="K93" s="6"/>
      <c r="L93" s="6">
        <v>104.88261</v>
      </c>
      <c r="M93" s="6">
        <v>1.9607335708725024</v>
      </c>
      <c r="N93" s="6"/>
      <c r="O93" s="6">
        <v>1.3630360472343073</v>
      </c>
      <c r="P93" s="6">
        <v>1.2536750720047314</v>
      </c>
      <c r="Q93" s="6">
        <v>0.44</v>
      </c>
      <c r="R93" s="6">
        <v>32.440122199999998</v>
      </c>
      <c r="S93" s="4"/>
    </row>
    <row r="94" spans="1:19" x14ac:dyDescent="0.25">
      <c r="A94">
        <v>1887</v>
      </c>
      <c r="B94" s="6">
        <v>143.89353400000002</v>
      </c>
      <c r="C94" s="6">
        <v>1.5629801381230957</v>
      </c>
      <c r="D94" s="6"/>
      <c r="E94" s="6">
        <v>2.3428913014134478</v>
      </c>
      <c r="F94" s="6">
        <v>2.3276455442242896</v>
      </c>
      <c r="G94" s="6">
        <v>1.296</v>
      </c>
      <c r="H94" s="6">
        <v>30.299491</v>
      </c>
      <c r="I94" s="6"/>
      <c r="J94" s="6"/>
      <c r="K94" s="6"/>
      <c r="L94" s="6">
        <v>113.96640400000001</v>
      </c>
      <c r="M94" s="6">
        <v>1.5950545545155483</v>
      </c>
      <c r="N94" s="6"/>
      <c r="O94" s="6">
        <v>1.4790103935671723</v>
      </c>
      <c r="P94" s="6">
        <v>1.6102315423209139</v>
      </c>
      <c r="Q94" s="6">
        <v>3.9E-2</v>
      </c>
      <c r="R94" s="6">
        <v>33.312458800000002</v>
      </c>
      <c r="S94" s="4"/>
    </row>
    <row r="95" spans="1:19" x14ac:dyDescent="0.25">
      <c r="A95">
        <v>1888</v>
      </c>
      <c r="B95" s="6">
        <v>180.16617600000001</v>
      </c>
      <c r="C95" s="6">
        <v>1.5184386844097795</v>
      </c>
      <c r="D95" s="6"/>
      <c r="E95" s="6">
        <v>2.3672289156626505</v>
      </c>
      <c r="F95" s="6">
        <v>2.2712935199531095</v>
      </c>
      <c r="G95" s="6">
        <v>1.2110000000000001</v>
      </c>
      <c r="H95" s="6">
        <v>28.939322600000001</v>
      </c>
      <c r="I95" s="6"/>
      <c r="J95" s="6"/>
      <c r="K95" s="6"/>
      <c r="L95" s="6">
        <v>141.18227999999999</v>
      </c>
      <c r="M95" s="6">
        <v>2.6120531647015164</v>
      </c>
      <c r="N95" s="6"/>
      <c r="O95" s="6">
        <v>1.3636626506024097</v>
      </c>
      <c r="P95" s="6">
        <v>1.2831876759504239</v>
      </c>
      <c r="Q95" s="6">
        <v>3.5999999999999997E-2</v>
      </c>
      <c r="R95" s="6">
        <v>37.832490399999998</v>
      </c>
      <c r="S95" s="4"/>
    </row>
    <row r="96" spans="1:19" x14ac:dyDescent="0.25">
      <c r="A96">
        <v>1889</v>
      </c>
      <c r="B96" s="6">
        <v>181.89847399999999</v>
      </c>
      <c r="C96" s="6">
        <v>1.5659615184979132</v>
      </c>
      <c r="D96" s="6"/>
      <c r="E96" s="6">
        <v>2.4664059172055919</v>
      </c>
      <c r="F96" s="6">
        <v>2.458849388137851</v>
      </c>
      <c r="G96" s="6">
        <v>1.133</v>
      </c>
      <c r="H96" s="6">
        <v>30.7166283</v>
      </c>
      <c r="I96" s="6"/>
      <c r="J96" s="6"/>
      <c r="K96" s="6"/>
      <c r="L96" s="6">
        <v>143.03086500000001</v>
      </c>
      <c r="M96" s="6">
        <v>2.5232542867978562</v>
      </c>
      <c r="N96" s="6"/>
      <c r="O96" s="6">
        <v>1.44870851566433</v>
      </c>
      <c r="P96" s="6">
        <v>1.361380427418061</v>
      </c>
      <c r="Q96" s="6">
        <v>3.4000000000000002E-2</v>
      </c>
      <c r="R96" s="6">
        <v>45.478526699999996</v>
      </c>
      <c r="S96" s="4"/>
    </row>
    <row r="97" spans="1:19" x14ac:dyDescent="0.25">
      <c r="A97">
        <v>1890</v>
      </c>
      <c r="B97" s="6">
        <v>170.56394900000001</v>
      </c>
      <c r="C97" s="6">
        <v>1.7069095815223787</v>
      </c>
      <c r="D97" s="6"/>
      <c r="E97" s="6">
        <v>2.4698189134808852</v>
      </c>
      <c r="F97" s="6">
        <v>2.091821529096336</v>
      </c>
      <c r="G97" s="6">
        <v>1.7030000000000001</v>
      </c>
      <c r="H97" s="6">
        <v>30.426729999999999</v>
      </c>
      <c r="I97" s="6"/>
      <c r="J97" s="6"/>
      <c r="K97" s="6"/>
      <c r="L97" s="6">
        <v>142.19320400000001</v>
      </c>
      <c r="M97" s="6">
        <v>2.1058411152632068</v>
      </c>
      <c r="N97" s="6"/>
      <c r="O97" s="6">
        <v>1.5390419439715217</v>
      </c>
      <c r="P97" s="6">
        <v>0.92863192512524784</v>
      </c>
      <c r="Q97" s="6">
        <v>6.9000000000000006E-2</v>
      </c>
      <c r="R97" s="6">
        <v>47.691226</v>
      </c>
      <c r="S97" s="4"/>
    </row>
    <row r="98" spans="1:19" x14ac:dyDescent="0.25">
      <c r="A98">
        <v>1891</v>
      </c>
      <c r="B98" s="6">
        <v>182.26374300000003</v>
      </c>
      <c r="C98" s="6">
        <v>2.0506478114688718</v>
      </c>
      <c r="D98" s="6"/>
      <c r="E98" s="6">
        <v>2.9164813489838144</v>
      </c>
      <c r="F98" s="6">
        <v>2.5900446501885632</v>
      </c>
      <c r="G98" s="6">
        <v>2.145</v>
      </c>
      <c r="H98" s="6">
        <v>31.6165944</v>
      </c>
      <c r="I98" s="6"/>
      <c r="J98" s="6"/>
      <c r="K98" s="6"/>
      <c r="L98" s="6">
        <v>174.19213200000002</v>
      </c>
      <c r="M98" s="6">
        <v>3.215249543760442</v>
      </c>
      <c r="N98" s="6"/>
      <c r="O98" s="6">
        <v>2.551002649237136</v>
      </c>
      <c r="P98" s="6">
        <v>3.1194156497785217</v>
      </c>
      <c r="Q98" s="6">
        <v>6.3E-2</v>
      </c>
      <c r="R98" s="6">
        <v>46.020033700000006</v>
      </c>
      <c r="S98" s="4"/>
    </row>
    <row r="99" spans="1:19" x14ac:dyDescent="0.25">
      <c r="A99">
        <v>1892</v>
      </c>
      <c r="B99" s="6">
        <v>146.87657999999999</v>
      </c>
      <c r="C99" s="6">
        <v>2.098749844519519</v>
      </c>
      <c r="D99" s="6"/>
      <c r="E99" s="6">
        <v>3.2921675067855762</v>
      </c>
      <c r="F99" s="6">
        <v>4.6252127170420341</v>
      </c>
      <c r="G99" s="6">
        <v>0.84599999999999997</v>
      </c>
      <c r="H99" s="6">
        <v>33.833933299999998</v>
      </c>
      <c r="I99" s="6"/>
      <c r="J99" s="6"/>
      <c r="K99" s="6"/>
      <c r="L99" s="6">
        <v>162.77885999999998</v>
      </c>
      <c r="M99" s="6">
        <v>2.9443848276492752</v>
      </c>
      <c r="N99" s="6"/>
      <c r="O99" s="6">
        <v>2.0913144629701437</v>
      </c>
      <c r="P99" s="6">
        <v>1.7475929409876989</v>
      </c>
      <c r="Q99" s="6">
        <v>0.03</v>
      </c>
      <c r="R99" s="6">
        <v>46.465008500000003</v>
      </c>
      <c r="S99" s="4"/>
    </row>
    <row r="100" spans="1:19" x14ac:dyDescent="0.25">
      <c r="A100">
        <v>1893</v>
      </c>
      <c r="B100" s="6">
        <v>115.78129299999999</v>
      </c>
      <c r="C100" s="6">
        <v>2.278614817396833</v>
      </c>
      <c r="D100" s="6"/>
      <c r="E100" s="6">
        <v>2.3388989082164953</v>
      </c>
      <c r="F100" s="6">
        <v>2.514400622437023</v>
      </c>
      <c r="G100" s="6">
        <v>1.0389999999999999</v>
      </c>
      <c r="H100" s="6">
        <v>33.614412899999998</v>
      </c>
      <c r="I100" s="6"/>
      <c r="J100" s="6"/>
      <c r="K100" s="6"/>
      <c r="L100" s="6">
        <v>161.86000699999997</v>
      </c>
      <c r="M100" s="6">
        <v>2.4272837032844303</v>
      </c>
      <c r="N100" s="6"/>
      <c r="O100" s="6">
        <v>2.4979153334496864</v>
      </c>
      <c r="P100" s="6">
        <v>3.3716422432220203</v>
      </c>
      <c r="Q100" s="6">
        <v>6.4000000000000001E-2</v>
      </c>
      <c r="R100" s="6">
        <v>43.702141499999996</v>
      </c>
      <c r="S100" s="4"/>
    </row>
    <row r="101" spans="1:19" x14ac:dyDescent="0.25">
      <c r="A101">
        <v>1894</v>
      </c>
      <c r="B101" s="6">
        <v>106.67270999999998</v>
      </c>
      <c r="C101" s="6">
        <v>2.3683854359337086</v>
      </c>
      <c r="D101" s="6"/>
      <c r="E101" s="6">
        <v>2.1814619383875224</v>
      </c>
      <c r="F101" s="6">
        <v>2.4996900653185739</v>
      </c>
      <c r="G101" s="6">
        <v>1.359</v>
      </c>
      <c r="H101" s="6">
        <v>33.104397200000001</v>
      </c>
      <c r="I101" s="6"/>
      <c r="J101" s="6"/>
      <c r="K101" s="6"/>
      <c r="L101" s="6">
        <v>156.502017</v>
      </c>
      <c r="M101" s="6">
        <v>3.9326025998741501</v>
      </c>
      <c r="N101" s="6"/>
      <c r="O101" s="6">
        <v>1.8555521067742686</v>
      </c>
      <c r="P101" s="6">
        <v>1.6999799859429399</v>
      </c>
      <c r="Q101" s="6">
        <v>0.14399999999999999</v>
      </c>
      <c r="R101" s="6">
        <v>45.0186639</v>
      </c>
      <c r="S101" s="4"/>
    </row>
    <row r="102" spans="1:19" x14ac:dyDescent="0.25">
      <c r="A102">
        <v>1895</v>
      </c>
      <c r="B102" s="6">
        <v>112.9492</v>
      </c>
      <c r="C102" s="6">
        <v>2.0345504536877215</v>
      </c>
      <c r="D102" s="6"/>
      <c r="E102" s="6">
        <v>1.9081965938253362</v>
      </c>
      <c r="F102" s="6">
        <v>1.590807256002412</v>
      </c>
      <c r="G102" s="6">
        <v>1.198</v>
      </c>
      <c r="H102" s="6">
        <v>34.8877971</v>
      </c>
      <c r="I102" s="6"/>
      <c r="J102" s="6"/>
      <c r="K102" s="6"/>
      <c r="L102" s="6">
        <v>163.77634</v>
      </c>
      <c r="M102" s="6">
        <v>2.2888646295196216</v>
      </c>
      <c r="N102" s="6"/>
      <c r="O102" s="6">
        <v>2.0300956528501435</v>
      </c>
      <c r="P102" s="6">
        <v>2.3514031505713597</v>
      </c>
      <c r="Q102" s="6">
        <v>8.2000000000000017E-2</v>
      </c>
      <c r="R102" s="6">
        <v>42.772624999999998</v>
      </c>
      <c r="S102" s="4"/>
    </row>
    <row r="103" spans="1:19" x14ac:dyDescent="0.25">
      <c r="A103">
        <v>1896</v>
      </c>
      <c r="B103" s="6">
        <v>143.91032000000001</v>
      </c>
      <c r="C103" s="6">
        <v>2.0476633455953728</v>
      </c>
      <c r="D103" s="6"/>
      <c r="E103" s="6">
        <v>2.2809028047548749</v>
      </c>
      <c r="F103" s="6">
        <v>2.2040981620529716</v>
      </c>
      <c r="G103" s="6">
        <v>1.7</v>
      </c>
      <c r="H103" s="6">
        <v>39.237515999999999</v>
      </c>
      <c r="I103" s="6"/>
      <c r="J103" s="6"/>
      <c r="K103" s="6"/>
      <c r="L103" s="6">
        <v>159.92192000000003</v>
      </c>
      <c r="M103" s="6">
        <v>2.9799399286584451</v>
      </c>
      <c r="N103" s="6"/>
      <c r="O103" s="6">
        <v>1.7465620386916321</v>
      </c>
      <c r="P103" s="6">
        <v>1.5418340761118918</v>
      </c>
      <c r="Q103" s="6">
        <v>5.5E-2</v>
      </c>
      <c r="R103" s="6">
        <v>45.404455200000001</v>
      </c>
      <c r="S103" s="4"/>
    </row>
    <row r="104" spans="1:19" x14ac:dyDescent="0.25">
      <c r="A104">
        <v>1897</v>
      </c>
      <c r="B104" s="6">
        <v>154.54577600000002</v>
      </c>
      <c r="C104" s="6">
        <v>2.2298359458811889</v>
      </c>
      <c r="D104" s="6"/>
      <c r="E104" s="6">
        <v>2.3565557881677908</v>
      </c>
      <c r="F104" s="6">
        <v>2.283795300297323</v>
      </c>
      <c r="G104" s="6">
        <v>2.0379999999999998</v>
      </c>
      <c r="H104" s="6">
        <v>39.1738815</v>
      </c>
      <c r="I104" s="6"/>
      <c r="J104" s="6"/>
      <c r="K104" s="6"/>
      <c r="L104" s="6">
        <v>182.68896800000002</v>
      </c>
      <c r="M104" s="6">
        <v>3.0733761221911724</v>
      </c>
      <c r="N104" s="6"/>
      <c r="O104" s="6">
        <v>1.975265565635419</v>
      </c>
      <c r="P104" s="6">
        <v>2.1017060294736112</v>
      </c>
      <c r="Q104" s="6">
        <v>5.9999999999999991E-2</v>
      </c>
      <c r="R104" s="6">
        <v>48.715676099999996</v>
      </c>
      <c r="S104" s="4"/>
    </row>
    <row r="105" spans="1:19" x14ac:dyDescent="0.25">
      <c r="A105">
        <v>1898</v>
      </c>
      <c r="B105" s="6">
        <v>152.00432800000002</v>
      </c>
      <c r="C105" s="6">
        <v>2.0846646222478076</v>
      </c>
      <c r="D105" s="6"/>
      <c r="E105" s="6">
        <v>2.4238344360670876</v>
      </c>
      <c r="F105" s="6">
        <v>2.2217212394564232</v>
      </c>
      <c r="G105" s="6">
        <v>2.9550000000000001</v>
      </c>
      <c r="H105" s="6">
        <v>39.896571000000002</v>
      </c>
      <c r="I105" s="6"/>
      <c r="J105" s="6"/>
      <c r="K105" s="6"/>
      <c r="L105" s="6">
        <v>193.96486200000001</v>
      </c>
      <c r="M105" s="6">
        <v>3.7649522048942061</v>
      </c>
      <c r="N105" s="6"/>
      <c r="O105" s="6">
        <v>1.8504769964609944</v>
      </c>
      <c r="P105" s="6">
        <v>1.4386871665379006</v>
      </c>
      <c r="Q105" s="6">
        <v>9.0999999999999984E-2</v>
      </c>
      <c r="R105" s="6">
        <v>50.988108599999997</v>
      </c>
      <c r="S105" s="4"/>
    </row>
    <row r="106" spans="1:19" x14ac:dyDescent="0.25">
      <c r="A106">
        <v>1899</v>
      </c>
      <c r="B106" s="6">
        <v>167.54413199999996</v>
      </c>
      <c r="C106" s="6">
        <v>2.45246048903909</v>
      </c>
      <c r="D106" s="6"/>
      <c r="E106" s="6">
        <v>2.6531164264461529</v>
      </c>
      <c r="F106" s="6">
        <v>0.95319797922028415</v>
      </c>
      <c r="G106" s="6">
        <v>4.0389999999999997</v>
      </c>
      <c r="H106" s="6">
        <v>42.509612000000004</v>
      </c>
      <c r="I106" s="6"/>
      <c r="J106" s="6"/>
      <c r="K106" s="6"/>
      <c r="L106" s="6">
        <v>237.18743999999998</v>
      </c>
      <c r="M106" s="6">
        <v>3.5225557616286149</v>
      </c>
      <c r="N106" s="6"/>
      <c r="O106" s="6">
        <v>2.3880366320182382</v>
      </c>
      <c r="P106" s="6">
        <v>0.6910685349347061</v>
      </c>
      <c r="Q106" s="6">
        <v>0.11</v>
      </c>
      <c r="R106" s="6">
        <v>58.064044400000007</v>
      </c>
      <c r="S106" s="4"/>
    </row>
    <row r="107" spans="1:19" x14ac:dyDescent="0.25">
      <c r="A107">
        <v>1900</v>
      </c>
      <c r="B107" s="6">
        <v>200.05028700000003</v>
      </c>
      <c r="C107" s="6">
        <v>3.0813294102956479</v>
      </c>
      <c r="D107" s="6"/>
      <c r="E107" s="6">
        <v>3.0320530212007286</v>
      </c>
      <c r="F107" s="6">
        <v>1.0230787532714727</v>
      </c>
      <c r="G107" s="6">
        <v>1.974</v>
      </c>
      <c r="H107" s="6">
        <v>51.794919200000002</v>
      </c>
      <c r="I107" s="6"/>
      <c r="J107" s="6"/>
      <c r="K107" s="6"/>
      <c r="L107" s="6">
        <v>222.13846800000002</v>
      </c>
      <c r="M107" s="6">
        <v>4.3772854073410175</v>
      </c>
      <c r="N107" s="6"/>
      <c r="O107" s="6">
        <v>2.406689663191349</v>
      </c>
      <c r="P107" s="6">
        <v>0.57102069950035683</v>
      </c>
      <c r="Q107" s="6">
        <v>4.2000000000000003E-2</v>
      </c>
      <c r="R107" s="6">
        <v>64.444439199999991</v>
      </c>
      <c r="S107" s="4"/>
    </row>
    <row r="108" spans="1:19" x14ac:dyDescent="0.25">
      <c r="A108">
        <v>1901</v>
      </c>
      <c r="B108" s="6">
        <v>195.85377817189632</v>
      </c>
      <c r="C108" s="6">
        <v>3.0931106914463049</v>
      </c>
      <c r="D108" s="6"/>
      <c r="E108" s="6">
        <v>3.5250150459143059</v>
      </c>
      <c r="F108" s="6">
        <v>1.0747551946501075</v>
      </c>
      <c r="G108" s="6"/>
      <c r="H108" s="6">
        <v>57.585568599999995</v>
      </c>
      <c r="I108" s="6"/>
      <c r="J108" s="6"/>
      <c r="K108" s="6"/>
      <c r="L108" s="6">
        <v>171.19440999999998</v>
      </c>
      <c r="M108" s="6">
        <v>3.9285721863366794</v>
      </c>
      <c r="N108" s="6"/>
      <c r="O108" s="6">
        <v>2.8833796035644252</v>
      </c>
      <c r="P108" s="6">
        <v>1.8151421065201814</v>
      </c>
      <c r="Q108" s="6"/>
      <c r="R108" s="6">
        <v>62.770121399999994</v>
      </c>
      <c r="S108" s="4"/>
    </row>
    <row r="109" spans="1:19" x14ac:dyDescent="0.25">
      <c r="A109">
        <v>1902</v>
      </c>
      <c r="B109" s="6">
        <v>185.76662030674842</v>
      </c>
      <c r="C109" s="6">
        <v>4.4125693069906724</v>
      </c>
      <c r="D109" s="6"/>
      <c r="E109" s="6">
        <v>3.355093159254726</v>
      </c>
      <c r="F109" s="6">
        <v>1.4071070832339614</v>
      </c>
      <c r="G109" s="6"/>
      <c r="H109" s="6">
        <v>55.184011300000002</v>
      </c>
      <c r="I109" s="6"/>
      <c r="J109" s="6"/>
      <c r="K109" s="6"/>
      <c r="L109" s="6">
        <v>142.43902</v>
      </c>
      <c r="M109" s="6">
        <v>4.0404722709771876</v>
      </c>
      <c r="N109" s="6"/>
      <c r="O109" s="6">
        <v>3.2155971323657986</v>
      </c>
      <c r="P109" s="6">
        <v>0.90627235869305967</v>
      </c>
      <c r="Q109" s="6"/>
      <c r="R109" s="6">
        <v>66.477075499999998</v>
      </c>
      <c r="S109" s="4"/>
    </row>
    <row r="110" spans="1:19" x14ac:dyDescent="0.25">
      <c r="A110">
        <v>1903</v>
      </c>
      <c r="B110" s="6">
        <v>171.40694503164556</v>
      </c>
      <c r="C110" s="6">
        <v>4.1681193542471329</v>
      </c>
      <c r="D110" s="6"/>
      <c r="E110" s="6">
        <v>3.405133171912833</v>
      </c>
      <c r="F110" s="6">
        <v>1.5733015494636469</v>
      </c>
      <c r="G110" s="6"/>
      <c r="H110" s="6">
        <v>62.189322800000006</v>
      </c>
      <c r="I110" s="6"/>
      <c r="J110" s="6"/>
      <c r="K110" s="6"/>
      <c r="L110" s="6">
        <v>143.61514000000003</v>
      </c>
      <c r="M110" s="6">
        <v>4.1057917769498227</v>
      </c>
      <c r="N110" s="6"/>
      <c r="O110" s="6">
        <v>2.6425181598062957</v>
      </c>
      <c r="P110" s="6">
        <v>0.92967818831942783</v>
      </c>
      <c r="Q110" s="6"/>
      <c r="R110" s="6">
        <v>72.995131000000001</v>
      </c>
      <c r="S110" s="4"/>
    </row>
    <row r="111" spans="1:19" x14ac:dyDescent="0.25">
      <c r="A111">
        <v>1904</v>
      </c>
      <c r="B111" s="6">
        <v>168.46108994475136</v>
      </c>
      <c r="C111" s="6">
        <v>3.8405373542639043</v>
      </c>
      <c r="D111" s="6"/>
      <c r="E111" s="6">
        <v>3.0416755468583494</v>
      </c>
      <c r="F111" s="6">
        <v>1.3356548286307153</v>
      </c>
      <c r="G111" s="6"/>
      <c r="H111" s="6">
        <v>64.695271600000012</v>
      </c>
      <c r="I111" s="6"/>
      <c r="J111" s="6"/>
      <c r="K111" s="6"/>
      <c r="L111" s="6">
        <v>192.23424</v>
      </c>
      <c r="M111" s="6">
        <v>4.4524731512337219</v>
      </c>
      <c r="N111" s="6"/>
      <c r="O111" s="6">
        <v>2.8295196946505734</v>
      </c>
      <c r="P111" s="6">
        <v>0.93018818422496241</v>
      </c>
      <c r="Q111" s="6"/>
      <c r="R111" s="6">
        <v>71.787364800000006</v>
      </c>
      <c r="S111" s="4"/>
    </row>
    <row r="112" spans="1:19" x14ac:dyDescent="0.25">
      <c r="A112">
        <v>1905</v>
      </c>
      <c r="B112" s="6">
        <v>172.45693309160308</v>
      </c>
      <c r="C112" s="6">
        <v>3.8578303965955798</v>
      </c>
      <c r="D112" s="6"/>
      <c r="E112" s="6">
        <v>2.6641487507263224</v>
      </c>
      <c r="F112" s="6">
        <v>1.9293523569063669</v>
      </c>
      <c r="G112" s="6"/>
      <c r="H112" s="6">
        <v>62.274560000000001</v>
      </c>
      <c r="I112" s="6"/>
      <c r="J112" s="6"/>
      <c r="K112" s="6"/>
      <c r="L112" s="6">
        <v>217.32946999999999</v>
      </c>
      <c r="M112" s="6">
        <v>5.2551959030710913</v>
      </c>
      <c r="N112" s="6"/>
      <c r="O112" s="6">
        <v>2.7373619988378852</v>
      </c>
      <c r="P112" s="6">
        <v>1.0480432556034587</v>
      </c>
      <c r="Q112" s="6"/>
      <c r="R112" s="6">
        <v>76.383639999999986</v>
      </c>
      <c r="S112" s="4"/>
    </row>
    <row r="113" spans="1:19" x14ac:dyDescent="0.25">
      <c r="A113">
        <v>1906</v>
      </c>
      <c r="B113" s="6">
        <v>199.17016346782989</v>
      </c>
      <c r="C113" s="6">
        <v>5.4480692107065094</v>
      </c>
      <c r="D113" s="6"/>
      <c r="E113" s="6">
        <v>2.5424580250014484</v>
      </c>
      <c r="F113" s="6">
        <v>1.9710750670877966</v>
      </c>
      <c r="G113" s="6"/>
      <c r="H113" s="6">
        <v>73.732159999999993</v>
      </c>
      <c r="I113" s="6"/>
      <c r="J113" s="6"/>
      <c r="K113" s="6"/>
      <c r="L113" s="6">
        <v>255.56783999999999</v>
      </c>
      <c r="M113" s="6">
        <v>4.5795333635457736</v>
      </c>
      <c r="N113" s="6"/>
      <c r="O113" s="6">
        <v>2.4976331703924104</v>
      </c>
      <c r="P113" s="6">
        <v>1.3298819729748985</v>
      </c>
      <c r="Q113" s="6"/>
      <c r="R113" s="6">
        <v>87.799480000000003</v>
      </c>
      <c r="S113" s="4"/>
    </row>
    <row r="114" spans="1:19" x14ac:dyDescent="0.25">
      <c r="A114">
        <v>1907</v>
      </c>
      <c r="B114" s="6">
        <v>234.53392474907065</v>
      </c>
      <c r="C114" s="6">
        <v>7.1586264381403266</v>
      </c>
      <c r="D114" s="6"/>
      <c r="E114" s="6">
        <v>2.4599405382447199</v>
      </c>
      <c r="F114" s="6">
        <v>2.0158421477019393</v>
      </c>
      <c r="G114" s="6"/>
      <c r="H114" s="6">
        <v>84.041669999999996</v>
      </c>
      <c r="I114" s="6"/>
      <c r="J114" s="6"/>
      <c r="K114" s="6"/>
      <c r="L114" s="6">
        <v>300.62973</v>
      </c>
      <c r="M114" s="6">
        <v>6.4362646664325709</v>
      </c>
      <c r="N114" s="6"/>
      <c r="O114" s="6">
        <v>2.3444920653307078</v>
      </c>
      <c r="P114" s="6">
        <v>1.2332210785941278</v>
      </c>
      <c r="Q114" s="6"/>
      <c r="R114" s="6">
        <v>97.643789999999996</v>
      </c>
      <c r="S114" s="4"/>
    </row>
    <row r="115" spans="1:19" x14ac:dyDescent="0.25">
      <c r="A115">
        <v>1908</v>
      </c>
      <c r="B115" s="6">
        <v>231.44854931144067</v>
      </c>
      <c r="C115" s="6">
        <v>5.711073767321901</v>
      </c>
      <c r="D115" s="6"/>
      <c r="E115" s="6">
        <v>2.5469764924218992</v>
      </c>
      <c r="F115" s="6">
        <v>1.7640888719366838</v>
      </c>
      <c r="G115" s="6"/>
      <c r="H115" s="6">
        <v>85.147999999999996</v>
      </c>
      <c r="I115" s="6"/>
      <c r="J115" s="6"/>
      <c r="K115" s="6"/>
      <c r="L115" s="6">
        <v>243.29743000000002</v>
      </c>
      <c r="M115" s="6">
        <v>6.4555687677626432</v>
      </c>
      <c r="N115" s="6"/>
      <c r="O115" s="6">
        <v>2.5626353232291996</v>
      </c>
      <c r="P115" s="6">
        <v>2.0739963764661007</v>
      </c>
      <c r="Q115" s="6"/>
      <c r="R115" s="6">
        <v>79.309280000000001</v>
      </c>
      <c r="S115" s="4"/>
    </row>
    <row r="116" spans="1:19" x14ac:dyDescent="0.25">
      <c r="A116">
        <v>1909</v>
      </c>
      <c r="B116" s="6">
        <v>237.31458852105777</v>
      </c>
      <c r="C116" s="6">
        <v>5.8884884719365864</v>
      </c>
      <c r="D116" s="6"/>
      <c r="E116" s="6">
        <v>2.711707185096432</v>
      </c>
      <c r="F116" s="6">
        <v>2.2894209672803587</v>
      </c>
      <c r="G116" s="6"/>
      <c r="H116" s="6">
        <v>76.504529999999988</v>
      </c>
      <c r="I116" s="6"/>
      <c r="J116" s="6"/>
      <c r="K116" s="6"/>
      <c r="L116" s="6">
        <v>274.76651999999996</v>
      </c>
      <c r="M116" s="6">
        <v>7.7467096600560863</v>
      </c>
      <c r="N116" s="6"/>
      <c r="O116" s="6">
        <v>2.4670505932825724</v>
      </c>
      <c r="P116" s="6">
        <v>2.6948392635695892</v>
      </c>
      <c r="Q116" s="6"/>
      <c r="R116" s="6">
        <v>95.996129999999994</v>
      </c>
      <c r="S116" s="4"/>
    </row>
    <row r="117" spans="1:19" x14ac:dyDescent="0.25">
      <c r="A117">
        <v>1910</v>
      </c>
      <c r="B117" s="6">
        <v>276.72858394160585</v>
      </c>
      <c r="C117" s="6">
        <v>7.3357852635139169</v>
      </c>
      <c r="D117" s="6"/>
      <c r="E117" s="6">
        <v>3.5446168112358247</v>
      </c>
      <c r="F117" s="6">
        <v>2.1193503833881033</v>
      </c>
      <c r="G117" s="6"/>
      <c r="H117" s="6">
        <v>83.157300000000006</v>
      </c>
      <c r="I117" s="6"/>
      <c r="J117" s="6"/>
      <c r="K117" s="6"/>
      <c r="L117" s="6">
        <v>339.9966</v>
      </c>
      <c r="M117" s="6">
        <v>8.5906005102762677</v>
      </c>
      <c r="N117" s="6"/>
      <c r="O117" s="6">
        <v>3.0452253540173482</v>
      </c>
      <c r="P117" s="6">
        <v>4.3339524694003915</v>
      </c>
      <c r="Q117" s="6"/>
      <c r="R117" s="6">
        <v>107.9586</v>
      </c>
      <c r="S117" s="4"/>
    </row>
    <row r="118" spans="1:19" x14ac:dyDescent="0.25">
      <c r="A118">
        <v>1911</v>
      </c>
      <c r="B118" s="6">
        <v>310.65153546961324</v>
      </c>
      <c r="C118" s="6">
        <v>6.1772434204807034</v>
      </c>
      <c r="D118" s="6"/>
      <c r="E118" s="6">
        <v>4.311687810897312</v>
      </c>
      <c r="F118" s="6">
        <v>2.7594081545268563</v>
      </c>
      <c r="G118" s="6"/>
      <c r="H118" s="6">
        <v>95.301080000000013</v>
      </c>
      <c r="I118" s="6"/>
      <c r="J118" s="6"/>
      <c r="K118" s="6"/>
      <c r="L118" s="6">
        <v>329.42424000000005</v>
      </c>
      <c r="M118" s="6">
        <v>10.227522619374973</v>
      </c>
      <c r="N118" s="6"/>
      <c r="O118" s="6">
        <v>3.9752438977364744</v>
      </c>
      <c r="P118" s="6">
        <v>3.9012322184690036</v>
      </c>
      <c r="Q118" s="6"/>
      <c r="R118" s="6">
        <v>92.383700000000005</v>
      </c>
      <c r="S118" s="4"/>
    </row>
    <row r="119" spans="1:19" x14ac:dyDescent="0.25">
      <c r="A119">
        <v>1912</v>
      </c>
      <c r="B119" s="6">
        <v>368.10372307692302</v>
      </c>
      <c r="C119" s="6">
        <v>8.4307384980890951</v>
      </c>
      <c r="D119" s="6"/>
      <c r="E119" s="6">
        <v>4.4545735475896162</v>
      </c>
      <c r="F119" s="6">
        <v>3.2599643069601432</v>
      </c>
      <c r="G119" s="6"/>
      <c r="H119" s="6">
        <v>102.18180000000001</v>
      </c>
      <c r="I119" s="6"/>
      <c r="J119" s="6"/>
      <c r="K119" s="6"/>
      <c r="L119" s="6">
        <v>325.52267999999998</v>
      </c>
      <c r="M119" s="6">
        <v>8.9574007388653971</v>
      </c>
      <c r="N119" s="6"/>
      <c r="O119" s="6">
        <v>4.2247373300370823</v>
      </c>
      <c r="P119" s="6">
        <v>4.0928019036287928</v>
      </c>
      <c r="Q119" s="6"/>
      <c r="R119" s="6">
        <v>106.07444000000001</v>
      </c>
      <c r="S119" s="4"/>
    </row>
    <row r="120" spans="1:19" x14ac:dyDescent="0.25">
      <c r="A120">
        <v>1913</v>
      </c>
      <c r="B120" s="6">
        <v>373.6906278688524</v>
      </c>
      <c r="C120" s="6">
        <v>8.2046469536082256</v>
      </c>
      <c r="D120" s="6"/>
      <c r="E120" s="6">
        <v>5.1612778689315713</v>
      </c>
      <c r="F120" s="6">
        <v>3.7771475655901132</v>
      </c>
      <c r="G120" s="6"/>
      <c r="H120" s="6">
        <v>113.32420999999999</v>
      </c>
      <c r="I120" s="6"/>
      <c r="J120" s="6"/>
      <c r="K120" s="6"/>
      <c r="L120" s="6">
        <v>366.03</v>
      </c>
      <c r="M120" s="6">
        <v>11.751643510594711</v>
      </c>
      <c r="N120" s="6"/>
      <c r="O120" s="6">
        <v>5.2877135411639813</v>
      </c>
      <c r="P120" s="6">
        <v>5.1225821528009003</v>
      </c>
      <c r="Q120" s="6"/>
      <c r="R120" s="6">
        <v>111.86509999999998</v>
      </c>
      <c r="S120" s="4"/>
    </row>
    <row r="121" spans="1:19" x14ac:dyDescent="0.25">
      <c r="A121">
        <v>1914</v>
      </c>
      <c r="B121" s="6">
        <v>343.33329731177133</v>
      </c>
      <c r="C121" s="6">
        <v>8.5548375118964675</v>
      </c>
      <c r="D121" s="6"/>
      <c r="E121" s="6">
        <v>4.8736370716510908</v>
      </c>
      <c r="F121" s="6">
        <v>3.5666450960849647</v>
      </c>
      <c r="G121" s="6"/>
      <c r="H121" s="6">
        <v>106.15728000000001</v>
      </c>
      <c r="I121" s="6"/>
      <c r="J121" s="6"/>
      <c r="K121" s="6"/>
      <c r="L121" s="6">
        <v>317.36295000000001</v>
      </c>
      <c r="M121" s="6">
        <v>11.599680060481013</v>
      </c>
      <c r="N121" s="6"/>
      <c r="O121" s="6">
        <v>4.6703660436137069</v>
      </c>
      <c r="P121" s="6">
        <v>4.5245139616236623</v>
      </c>
      <c r="Q121" s="6"/>
      <c r="R121" s="6">
        <v>127.09656000000003</v>
      </c>
      <c r="S121" s="4"/>
    </row>
    <row r="122" spans="1:19" x14ac:dyDescent="0.25">
      <c r="A122">
        <v>1915</v>
      </c>
      <c r="B122" s="6">
        <v>298.972645</v>
      </c>
      <c r="C122" s="6">
        <v>5.4129940905072962</v>
      </c>
      <c r="D122" s="6"/>
      <c r="E122" s="6">
        <v>3.0258428889269213</v>
      </c>
      <c r="F122" s="6">
        <v>2.2143847690444898</v>
      </c>
      <c r="G122" s="6"/>
      <c r="H122" s="6">
        <v>103.292</v>
      </c>
      <c r="I122" s="6"/>
      <c r="J122" s="6"/>
      <c r="K122" s="6"/>
      <c r="L122" s="6">
        <v>330.80223293172747</v>
      </c>
      <c r="M122" s="6">
        <v>8.8227648199929583</v>
      </c>
      <c r="N122" s="6"/>
      <c r="O122" s="6">
        <v>4.0609276056820125</v>
      </c>
      <c r="P122" s="6">
        <v>3.9341078359747801</v>
      </c>
      <c r="Q122" s="6"/>
      <c r="R122" s="6">
        <v>150.892</v>
      </c>
      <c r="S122" s="4"/>
    </row>
    <row r="123" spans="1:19" x14ac:dyDescent="0.25">
      <c r="A123">
        <v>1916</v>
      </c>
      <c r="B123" s="6">
        <v>423.69148500000006</v>
      </c>
      <c r="C123" s="6">
        <v>6.3703672188728513</v>
      </c>
      <c r="D123" s="6"/>
      <c r="E123" s="6">
        <v>4.1706063720452207</v>
      </c>
      <c r="F123" s="6">
        <v>3.0521502824001652</v>
      </c>
      <c r="G123" s="6"/>
      <c r="H123" s="6">
        <v>125.92799999999998</v>
      </c>
      <c r="I123" s="6"/>
      <c r="J123" s="6"/>
      <c r="K123" s="6"/>
      <c r="L123" s="6">
        <v>359.74162024192725</v>
      </c>
      <c r="M123" s="6">
        <v>12.008228624749846</v>
      </c>
      <c r="N123" s="6"/>
      <c r="O123" s="6">
        <v>5.2435765673175734</v>
      </c>
      <c r="P123" s="6">
        <v>5.0798235440479624</v>
      </c>
      <c r="Q123" s="6"/>
      <c r="R123" s="6">
        <v>158.84099999999998</v>
      </c>
      <c r="S123" s="4"/>
    </row>
    <row r="124" spans="1:19" x14ac:dyDescent="0.25">
      <c r="A124">
        <v>1917</v>
      </c>
      <c r="B124" s="6">
        <v>481.52915999999999</v>
      </c>
      <c r="C124" s="6">
        <v>7.1347027446126221</v>
      </c>
      <c r="D124" s="6"/>
      <c r="E124" s="6">
        <v>4.5071753587679382</v>
      </c>
      <c r="F124" s="6">
        <v>3.298459580433756</v>
      </c>
      <c r="G124" s="6"/>
      <c r="H124" s="6">
        <v>99.483999999999995</v>
      </c>
      <c r="I124" s="6"/>
      <c r="J124" s="6"/>
      <c r="K124" s="6"/>
      <c r="L124" s="6">
        <v>319.61782465914189</v>
      </c>
      <c r="M124" s="6">
        <v>14.040905104462459</v>
      </c>
      <c r="N124" s="6"/>
      <c r="O124" s="6">
        <v>5.5736786839341956</v>
      </c>
      <c r="P124" s="6">
        <v>5.3996168153774597</v>
      </c>
      <c r="Q124" s="6"/>
      <c r="R124" s="6">
        <v>148.036</v>
      </c>
      <c r="S124" s="4"/>
    </row>
    <row r="125" spans="1:19" x14ac:dyDescent="0.25">
      <c r="A125">
        <v>1918</v>
      </c>
      <c r="B125" s="6">
        <v>461.87973999999997</v>
      </c>
      <c r="C125" s="6">
        <v>9.665997254000354</v>
      </c>
      <c r="D125" s="6"/>
      <c r="E125" s="6">
        <v>5.8397871169021833</v>
      </c>
      <c r="F125" s="6">
        <v>4.2736969898382409</v>
      </c>
      <c r="G125" s="6"/>
      <c r="H125" s="6">
        <v>115.66800000000001</v>
      </c>
      <c r="I125" s="6"/>
      <c r="J125" s="6"/>
      <c r="K125" s="6"/>
      <c r="L125" s="6">
        <v>366.71284554413921</v>
      </c>
      <c r="M125" s="6">
        <v>12.395397185889941</v>
      </c>
      <c r="N125" s="6"/>
      <c r="O125" s="6">
        <v>6.7652780326665445</v>
      </c>
      <c r="P125" s="6">
        <v>6.5540033965691906</v>
      </c>
      <c r="Q125" s="6"/>
      <c r="R125" s="6">
        <v>135.66</v>
      </c>
      <c r="S125" s="4"/>
    </row>
    <row r="126" spans="1:19" x14ac:dyDescent="0.25">
      <c r="A126">
        <v>1919</v>
      </c>
      <c r="B126" s="6">
        <v>454.147605</v>
      </c>
      <c r="C126" s="6">
        <v>5.7998963408914053</v>
      </c>
      <c r="D126" s="6"/>
      <c r="E126" s="6">
        <v>3.3947319778188536</v>
      </c>
      <c r="F126" s="6">
        <v>2.4843466969748214</v>
      </c>
      <c r="G126" s="6"/>
      <c r="H126" s="6">
        <v>136.00099999999998</v>
      </c>
      <c r="I126" s="6"/>
      <c r="J126" s="6"/>
      <c r="K126" s="6"/>
      <c r="L126" s="6">
        <v>375.06822987110485</v>
      </c>
      <c r="M126" s="6">
        <v>11.510599535667648</v>
      </c>
      <c r="N126" s="6"/>
      <c r="O126" s="6">
        <v>3.9104436229205173</v>
      </c>
      <c r="P126" s="6">
        <v>3.7883233568468238</v>
      </c>
      <c r="Q126" s="6"/>
      <c r="R126" s="6">
        <v>239.21999999999997</v>
      </c>
      <c r="S126" s="4"/>
    </row>
    <row r="127" spans="1:19" x14ac:dyDescent="0.25">
      <c r="A127">
        <v>1920</v>
      </c>
      <c r="B127" s="6">
        <v>445.0917</v>
      </c>
      <c r="C127" s="6">
        <v>5.2662904818976326</v>
      </c>
      <c r="D127" s="6"/>
      <c r="E127" s="6">
        <v>4.3323722092000008</v>
      </c>
      <c r="F127" s="6">
        <v>3.1705344216620399</v>
      </c>
      <c r="G127" s="6"/>
      <c r="H127" s="6">
        <v>225.09000000000003</v>
      </c>
      <c r="I127" s="6"/>
      <c r="J127" s="6"/>
      <c r="K127" s="6"/>
      <c r="L127" s="6">
        <v>471.13906174174093</v>
      </c>
      <c r="M127" s="6">
        <v>11.408238246969717</v>
      </c>
      <c r="N127" s="6"/>
      <c r="O127" s="6">
        <v>4.7196550416000012</v>
      </c>
      <c r="P127" s="6">
        <v>4.5722637006079063</v>
      </c>
      <c r="Q127" s="6"/>
      <c r="R127" s="6">
        <v>169.82400000000001</v>
      </c>
      <c r="S127" s="4"/>
    </row>
    <row r="128" spans="1:19" x14ac:dyDescent="0.25">
      <c r="A128">
        <v>1921</v>
      </c>
      <c r="B128" s="6">
        <v>498.96839</v>
      </c>
      <c r="C128" s="6">
        <v>5.2752212416612112</v>
      </c>
      <c r="D128" s="6"/>
      <c r="E128" s="6">
        <v>4.4622373544</v>
      </c>
      <c r="F128" s="6">
        <v>3.2655728655326706</v>
      </c>
      <c r="G128" s="6"/>
      <c r="H128" s="6">
        <v>165.55</v>
      </c>
      <c r="I128" s="6"/>
      <c r="J128" s="6"/>
      <c r="K128" s="6"/>
      <c r="L128" s="6">
        <v>558.97092236085166</v>
      </c>
      <c r="M128" s="6">
        <v>7.2065675857560096</v>
      </c>
      <c r="N128" s="6"/>
      <c r="O128" s="6">
        <v>3.0447931864999997</v>
      </c>
      <c r="P128" s="6">
        <v>2.9497065441826642</v>
      </c>
      <c r="Q128" s="6"/>
      <c r="R128" s="6">
        <v>172.48000000000002</v>
      </c>
      <c r="S128" s="4"/>
    </row>
    <row r="129" spans="1:19" x14ac:dyDescent="0.25">
      <c r="A129">
        <v>1922</v>
      </c>
      <c r="B129" s="6">
        <v>564.42165</v>
      </c>
      <c r="C129" s="6">
        <v>8.3492433471956282</v>
      </c>
      <c r="D129" s="6"/>
      <c r="E129" s="6">
        <v>4.9811427127999997</v>
      </c>
      <c r="F129" s="6">
        <v>3.6453203158783261</v>
      </c>
      <c r="G129" s="6"/>
      <c r="H129" s="6">
        <v>155.04999999999998</v>
      </c>
      <c r="I129" s="6"/>
      <c r="J129" s="6"/>
      <c r="K129" s="6"/>
      <c r="L129" s="6">
        <v>539.8336616601473</v>
      </c>
      <c r="M129" s="6">
        <v>13.757885634899464</v>
      </c>
      <c r="N129" s="6"/>
      <c r="O129" s="6">
        <v>4.5811354096999999</v>
      </c>
      <c r="P129" s="6">
        <v>4.4380699345009598</v>
      </c>
      <c r="Q129" s="6"/>
      <c r="R129" s="6">
        <v>189.60399999999996</v>
      </c>
      <c r="S129" s="4"/>
    </row>
    <row r="130" spans="1:19" x14ac:dyDescent="0.25">
      <c r="A130">
        <v>1923</v>
      </c>
      <c r="B130" s="6">
        <v>532.00750000000005</v>
      </c>
      <c r="C130" s="6">
        <v>9.339993567958091</v>
      </c>
      <c r="D130" s="6"/>
      <c r="E130" s="6">
        <v>4.6350146986</v>
      </c>
      <c r="F130" s="6">
        <v>3.392015491100755</v>
      </c>
      <c r="G130" s="6"/>
      <c r="H130" s="6">
        <v>198.77199999999999</v>
      </c>
      <c r="I130" s="6"/>
      <c r="J130" s="6"/>
      <c r="K130" s="6"/>
      <c r="L130" s="6">
        <v>588.05090674123335</v>
      </c>
      <c r="M130" s="6">
        <v>12.737088909201869</v>
      </c>
      <c r="N130" s="6"/>
      <c r="O130" s="6">
        <v>3.6691159361999999</v>
      </c>
      <c r="P130" s="6">
        <v>3.5545321555369438</v>
      </c>
      <c r="Q130" s="6"/>
      <c r="R130" s="6">
        <v>209.76399999999998</v>
      </c>
      <c r="S130" s="4"/>
    </row>
    <row r="131" spans="1:19" x14ac:dyDescent="0.25">
      <c r="A131">
        <v>1924</v>
      </c>
      <c r="B131" s="6">
        <v>686.13420000000008</v>
      </c>
      <c r="C131" s="6">
        <v>9.999171487071699</v>
      </c>
      <c r="D131" s="6"/>
      <c r="E131" s="6">
        <v>6.2764650885000011</v>
      </c>
      <c r="F131" s="6">
        <v>3.7927622200000002</v>
      </c>
      <c r="G131" s="6"/>
      <c r="H131" s="6">
        <v>214.37</v>
      </c>
      <c r="I131" s="6"/>
      <c r="J131" s="6"/>
      <c r="K131" s="6"/>
      <c r="L131" s="6">
        <v>671.25982878245168</v>
      </c>
      <c r="M131" s="6">
        <v>12.363533889965813</v>
      </c>
      <c r="N131" s="6"/>
      <c r="O131" s="6">
        <v>5.5922110138000001</v>
      </c>
      <c r="P131" s="6">
        <v>6.5203397999999995</v>
      </c>
      <c r="Q131" s="6"/>
      <c r="R131" s="6">
        <v>231.608</v>
      </c>
      <c r="S131" s="4"/>
    </row>
    <row r="132" spans="1:19" x14ac:dyDescent="0.25">
      <c r="A132">
        <v>1925</v>
      </c>
      <c r="B132" s="6">
        <v>731.88377000000003</v>
      </c>
      <c r="C132" s="6">
        <v>12.509190213284112</v>
      </c>
      <c r="D132" s="6"/>
      <c r="E132" s="6">
        <v>6.4670504655000007</v>
      </c>
      <c r="F132" s="6">
        <v>4.5690544199999996</v>
      </c>
      <c r="G132" s="6"/>
      <c r="H132" s="6">
        <v>253.09200000000001</v>
      </c>
      <c r="I132" s="6"/>
      <c r="J132" s="6"/>
      <c r="K132" s="6"/>
      <c r="L132" s="6">
        <v>696.64843926199239</v>
      </c>
      <c r="M132" s="6">
        <v>18.0653556504116</v>
      </c>
      <c r="N132" s="6"/>
      <c r="O132" s="6">
        <v>5.0172474930000002</v>
      </c>
      <c r="P132" s="6">
        <v>7.5000819600000002</v>
      </c>
      <c r="Q132" s="6"/>
      <c r="R132" s="6">
        <v>265.65000000000003</v>
      </c>
      <c r="S132" s="4"/>
    </row>
    <row r="133" spans="1:19" x14ac:dyDescent="0.25">
      <c r="A133">
        <v>1926</v>
      </c>
      <c r="B133" s="6">
        <v>664.39508000000012</v>
      </c>
      <c r="C133" s="6">
        <v>13.739676786763116</v>
      </c>
      <c r="D133" s="6"/>
      <c r="E133" s="6">
        <v>6.2116893477000001</v>
      </c>
      <c r="F133" s="6">
        <v>4.8388395600000003</v>
      </c>
      <c r="G133" s="6"/>
      <c r="H133" s="6">
        <v>242.51400000000001</v>
      </c>
      <c r="I133" s="6"/>
      <c r="J133" s="6"/>
      <c r="K133" s="6"/>
      <c r="L133" s="6">
        <v>753.39580632380489</v>
      </c>
      <c r="M133" s="6">
        <v>17.612161611749265</v>
      </c>
      <c r="N133" s="6"/>
      <c r="O133" s="6">
        <v>4.6760954241000006</v>
      </c>
      <c r="P133" s="6">
        <v>8.7232820400000008</v>
      </c>
      <c r="Q133" s="6"/>
      <c r="R133" s="6">
        <v>218.70000000000002</v>
      </c>
      <c r="S133" s="4"/>
    </row>
    <row r="134" spans="1:19" x14ac:dyDescent="0.25">
      <c r="A134">
        <v>1927</v>
      </c>
      <c r="B134" s="6">
        <v>654.42429000000004</v>
      </c>
      <c r="C134" s="6">
        <v>11.744432932349261</v>
      </c>
      <c r="D134" s="6"/>
      <c r="E134" s="6">
        <v>8.0619280253999985</v>
      </c>
      <c r="F134" s="6">
        <v>5.0689799999999998</v>
      </c>
      <c r="G134" s="6"/>
      <c r="H134" s="6">
        <v>217.72800000000001</v>
      </c>
      <c r="I134" s="6"/>
      <c r="J134" s="6"/>
      <c r="K134" s="6"/>
      <c r="L134" s="6">
        <v>745.60534259888527</v>
      </c>
      <c r="M134" s="6">
        <v>17.525789188467993</v>
      </c>
      <c r="N134" s="6"/>
      <c r="O134" s="6">
        <v>5.3477936135999986</v>
      </c>
      <c r="P134" s="6">
        <v>7.9703999999999997</v>
      </c>
      <c r="Q134" s="6"/>
      <c r="R134" s="6">
        <v>234.738</v>
      </c>
      <c r="S134" s="4"/>
    </row>
    <row r="135" spans="1:19" x14ac:dyDescent="0.25">
      <c r="A135">
        <v>1928</v>
      </c>
      <c r="B135" s="6">
        <v>660.7939100000001</v>
      </c>
      <c r="C135" s="6">
        <v>13.407202498920656</v>
      </c>
      <c r="D135" s="6"/>
      <c r="E135" s="6">
        <v>8.3425289158399991</v>
      </c>
      <c r="F135" s="6">
        <v>6.69625</v>
      </c>
      <c r="G135" s="6"/>
      <c r="H135" s="6">
        <v>218.17599999999999</v>
      </c>
      <c r="I135" s="6"/>
      <c r="J135" s="6"/>
      <c r="K135" s="6"/>
      <c r="L135" s="6">
        <v>707.76837548671915</v>
      </c>
      <c r="M135" s="6">
        <v>26.677238317311367</v>
      </c>
      <c r="N135" s="6"/>
      <c r="O135" s="6">
        <v>5.6910974108799994</v>
      </c>
      <c r="P135" s="6">
        <v>9.7253900000000009</v>
      </c>
      <c r="Q135" s="6"/>
      <c r="R135" s="6">
        <v>270.77199999999999</v>
      </c>
      <c r="S135" s="4"/>
    </row>
    <row r="136" spans="1:19" x14ac:dyDescent="0.25">
      <c r="A136">
        <v>1929</v>
      </c>
      <c r="B136" s="6">
        <v>560.63294999999994</v>
      </c>
      <c r="C136" s="6">
        <v>11.493938606093863</v>
      </c>
      <c r="D136" s="6"/>
      <c r="E136" s="6">
        <v>7.753189765440001</v>
      </c>
      <c r="F136" s="6">
        <v>6.1041600000000003</v>
      </c>
      <c r="G136" s="6"/>
      <c r="H136" s="6">
        <v>237.65400000000002</v>
      </c>
      <c r="I136" s="6"/>
      <c r="J136" s="6"/>
      <c r="K136" s="6"/>
      <c r="L136" s="6">
        <v>685.82688353562094</v>
      </c>
      <c r="M136" s="6">
        <v>15.235377876906055</v>
      </c>
      <c r="N136" s="6"/>
      <c r="O136" s="6">
        <v>5.5797394463999996</v>
      </c>
      <c r="P136" s="6">
        <v>7.7760000000000007</v>
      </c>
      <c r="Q136" s="6"/>
      <c r="R136" s="6">
        <v>273.61799999999999</v>
      </c>
      <c r="S136" s="4"/>
    </row>
    <row r="137" spans="1:19" x14ac:dyDescent="0.25">
      <c r="A137">
        <v>1930</v>
      </c>
      <c r="B137" s="6">
        <v>416.07208499999996</v>
      </c>
      <c r="C137" s="6">
        <v>11.223968131564202</v>
      </c>
      <c r="D137" s="6"/>
      <c r="E137" s="6">
        <v>7.4484703999999997</v>
      </c>
      <c r="F137" s="6">
        <v>6.269400000000001</v>
      </c>
      <c r="G137" s="6"/>
      <c r="H137" s="6">
        <v>215.298</v>
      </c>
      <c r="I137" s="6"/>
      <c r="J137" s="6"/>
      <c r="K137" s="6"/>
      <c r="L137" s="6">
        <v>456.89702023098494</v>
      </c>
      <c r="M137" s="6">
        <v>13.077368327354755</v>
      </c>
      <c r="N137" s="6"/>
      <c r="O137" s="6">
        <v>4.6514720000000001</v>
      </c>
      <c r="P137" s="6">
        <v>7.0470000000000006</v>
      </c>
      <c r="Q137" s="6"/>
      <c r="R137" s="6">
        <v>215.78400000000002</v>
      </c>
      <c r="S137" s="4"/>
    </row>
    <row r="138" spans="1:19" x14ac:dyDescent="0.25">
      <c r="A138">
        <v>1931</v>
      </c>
      <c r="B138" s="6">
        <v>242.40272999999999</v>
      </c>
      <c r="C138" s="6">
        <v>7.5301985004987166</v>
      </c>
      <c r="D138" s="6"/>
      <c r="E138" s="6">
        <v>4.6207392</v>
      </c>
      <c r="F138" s="6">
        <v>4.6035599999999999</v>
      </c>
      <c r="G138" s="6"/>
      <c r="H138" s="6">
        <v>120.31</v>
      </c>
      <c r="I138" s="6"/>
      <c r="J138" s="6"/>
      <c r="K138" s="6"/>
      <c r="L138" s="6">
        <v>159.30792985409366</v>
      </c>
      <c r="M138" s="6">
        <v>7.8382541770936847</v>
      </c>
      <c r="N138" s="6"/>
      <c r="O138" s="6">
        <v>3.7302719999999998</v>
      </c>
      <c r="P138" s="6">
        <v>5.2119199999999992</v>
      </c>
      <c r="Q138" s="6"/>
      <c r="R138" s="6">
        <v>156.17599999999999</v>
      </c>
      <c r="S138" s="4"/>
    </row>
    <row r="139" spans="1:19" x14ac:dyDescent="0.25">
      <c r="A139">
        <v>1932</v>
      </c>
      <c r="B139" s="6">
        <v>260.21050000000002</v>
      </c>
      <c r="C139" s="6">
        <v>5.2631430222171218</v>
      </c>
      <c r="D139" s="6"/>
      <c r="E139" s="6">
        <v>2.9627751999999994</v>
      </c>
      <c r="F139" s="6">
        <v>2.9308499999999995</v>
      </c>
      <c r="G139" s="6"/>
      <c r="H139" s="6">
        <v>86.346000000000004</v>
      </c>
      <c r="I139" s="6"/>
      <c r="J139" s="6"/>
      <c r="K139" s="6"/>
      <c r="L139" s="6">
        <v>166.04556581431081</v>
      </c>
      <c r="M139" s="6">
        <v>9.0848525168519512</v>
      </c>
      <c r="N139" s="6"/>
      <c r="O139" s="6">
        <v>2.6578775999999995</v>
      </c>
      <c r="P139" s="6">
        <v>3.8750400000000003</v>
      </c>
      <c r="Q139" s="6"/>
      <c r="R139" s="6">
        <v>120.74399999999999</v>
      </c>
      <c r="S139" s="4"/>
    </row>
    <row r="140" spans="1:19" x14ac:dyDescent="0.25">
      <c r="A140">
        <v>1933</v>
      </c>
      <c r="B140" s="6">
        <v>436.01920000000001</v>
      </c>
      <c r="C140" s="6">
        <v>6.7549473677520728</v>
      </c>
      <c r="D140" s="6"/>
      <c r="E140" s="6">
        <v>3.9040165161290328</v>
      </c>
      <c r="F140" s="6">
        <v>3.9177600000000004</v>
      </c>
      <c r="G140" s="6"/>
      <c r="H140" s="6">
        <v>108.54400000000001</v>
      </c>
      <c r="I140" s="6"/>
      <c r="J140" s="6"/>
      <c r="K140" s="6"/>
      <c r="L140" s="6">
        <v>292.31916811810027</v>
      </c>
      <c r="M140" s="6">
        <v>9.1375146487319299</v>
      </c>
      <c r="N140" s="6"/>
      <c r="O140" s="6">
        <v>3.0692841290322583</v>
      </c>
      <c r="P140" s="6">
        <v>4.2569600000000003</v>
      </c>
      <c r="Q140" s="6"/>
      <c r="R140" s="6">
        <v>168.32800000000003</v>
      </c>
      <c r="S140" s="4"/>
    </row>
    <row r="141" spans="1:19" x14ac:dyDescent="0.25">
      <c r="A141">
        <v>1934</v>
      </c>
      <c r="B141" s="6">
        <v>429.65120000000007</v>
      </c>
      <c r="C141" s="6">
        <v>7.4992826162713717</v>
      </c>
      <c r="D141" s="6"/>
      <c r="E141" s="6">
        <v>4.8128520149001011</v>
      </c>
      <c r="F141" s="6">
        <v>4.4755200000000004</v>
      </c>
      <c r="G141" s="6"/>
      <c r="H141" s="6">
        <v>157.75200000000001</v>
      </c>
      <c r="I141" s="6"/>
      <c r="J141" s="6"/>
      <c r="K141" s="6"/>
      <c r="L141" s="6">
        <v>320.92550659537204</v>
      </c>
      <c r="M141" s="6">
        <v>9.8725023155946445</v>
      </c>
      <c r="N141" s="6"/>
      <c r="O141" s="6">
        <v>5.474393498137486</v>
      </c>
      <c r="P141" s="6">
        <v>4.0168800000000005</v>
      </c>
      <c r="Q141" s="6"/>
      <c r="R141" s="6">
        <v>231.84</v>
      </c>
      <c r="S141" s="4"/>
    </row>
    <row r="142" spans="1:19" x14ac:dyDescent="0.25">
      <c r="A142">
        <v>1935</v>
      </c>
      <c r="B142" s="6">
        <v>448.63</v>
      </c>
      <c r="C142" s="6">
        <v>9.0357944585183301</v>
      </c>
      <c r="D142" s="6"/>
      <c r="E142" s="6">
        <v>5.1678821537419575</v>
      </c>
      <c r="F142" s="6">
        <v>4.8020000000000005</v>
      </c>
      <c r="G142" s="6"/>
      <c r="H142" s="6">
        <v>177.87</v>
      </c>
      <c r="I142" s="6"/>
      <c r="J142" s="6"/>
      <c r="K142" s="6"/>
      <c r="L142" s="6">
        <v>378.82289908454499</v>
      </c>
      <c r="M142" s="6">
        <v>12.000056688322367</v>
      </c>
      <c r="N142" s="6"/>
      <c r="O142" s="6">
        <v>6.5094832373857097</v>
      </c>
      <c r="P142" s="6">
        <v>4.2629999999999999</v>
      </c>
      <c r="Q142" s="6"/>
      <c r="R142" s="6">
        <v>220.99000000000004</v>
      </c>
      <c r="S142" s="4"/>
    </row>
    <row r="143" spans="1:19" x14ac:dyDescent="0.25">
      <c r="A143">
        <v>1936</v>
      </c>
      <c r="B143" s="6">
        <v>534.66104999999982</v>
      </c>
      <c r="C143" s="6">
        <v>10.982487232436823</v>
      </c>
      <c r="D143" s="6"/>
      <c r="E143" s="6">
        <v>5.7573594649508975</v>
      </c>
      <c r="F143" s="6">
        <v>6.3914200000000001</v>
      </c>
      <c r="G143" s="6"/>
      <c r="H143" s="6">
        <v>220.17099999999996</v>
      </c>
      <c r="I143" s="6"/>
      <c r="J143" s="6"/>
      <c r="K143" s="6"/>
      <c r="L143" s="6">
        <v>424.37618459394906</v>
      </c>
      <c r="M143" s="6">
        <v>13.784667216559235</v>
      </c>
      <c r="N143" s="6"/>
      <c r="O143" s="6">
        <v>6.5799424314256685</v>
      </c>
      <c r="P143" s="6">
        <v>6.3367499999999994</v>
      </c>
      <c r="Q143" s="6"/>
      <c r="R143" s="6">
        <v>274.84099999999995</v>
      </c>
      <c r="S143" s="4"/>
    </row>
    <row r="144" spans="1:19" x14ac:dyDescent="0.25">
      <c r="A144">
        <v>1937</v>
      </c>
      <c r="B144" s="6">
        <v>578.63812500000006</v>
      </c>
      <c r="C144" s="6">
        <v>13.159954230256599</v>
      </c>
      <c r="D144" s="6"/>
      <c r="E144" s="6">
        <v>6.2431434981374876</v>
      </c>
      <c r="F144" s="6">
        <v>8.1114800000000002</v>
      </c>
      <c r="G144" s="6"/>
      <c r="H144" s="6">
        <v>277.62800000000004</v>
      </c>
      <c r="I144" s="6"/>
      <c r="J144" s="6"/>
      <c r="K144" s="6"/>
      <c r="L144" s="6">
        <v>513.64598911270593</v>
      </c>
      <c r="M144" s="6">
        <v>14.703898290346805</v>
      </c>
      <c r="N144" s="6"/>
      <c r="O144" s="6">
        <v>6.3459365052488996</v>
      </c>
      <c r="P144" s="6">
        <v>8.8178999999999998</v>
      </c>
      <c r="Q144" s="6"/>
      <c r="R144" s="6">
        <v>322.58199999999999</v>
      </c>
      <c r="S144" s="4"/>
    </row>
    <row r="145" spans="1:19" x14ac:dyDescent="0.25">
      <c r="A145">
        <v>1938</v>
      </c>
      <c r="B145" s="6">
        <v>488.47529999999995</v>
      </c>
      <c r="C145" s="6">
        <v>13.548487385140918</v>
      </c>
      <c r="D145" s="6"/>
      <c r="E145" s="6">
        <v>6.3655773789366732</v>
      </c>
      <c r="F145" s="6">
        <v>9.7115399999999994</v>
      </c>
      <c r="G145" s="6"/>
      <c r="H145" s="6">
        <v>270.90600000000001</v>
      </c>
      <c r="I145" s="6"/>
      <c r="J145" s="6"/>
      <c r="K145" s="6"/>
      <c r="L145" s="6">
        <v>494.14744791775757</v>
      </c>
      <c r="M145" s="6">
        <v>11.982756976631846</v>
      </c>
      <c r="N145" s="6"/>
      <c r="O145" s="6">
        <v>5.5705976972570257</v>
      </c>
      <c r="P145" s="6">
        <v>6.8166599999999988</v>
      </c>
      <c r="Q145" s="6"/>
      <c r="R145" s="6">
        <v>279.21899999999999</v>
      </c>
      <c r="S14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5"/>
  <sheetViews>
    <sheetView workbookViewId="0">
      <pane xSplit="1" ySplit="6" topLeftCell="B38" activePane="bottomRight" state="frozen"/>
      <selection pane="topRight" activeCell="B1" sqref="B1"/>
      <selection pane="bottomLeft" activeCell="A7" sqref="A7"/>
      <selection pane="bottomRight" activeCell="A146" sqref="A146:XFD153"/>
    </sheetView>
  </sheetViews>
  <sheetFormatPr baseColWidth="10" defaultColWidth="9.109375" defaultRowHeight="13.2" x14ac:dyDescent="0.25"/>
  <sheetData>
    <row r="1" spans="1:32" x14ac:dyDescent="0.25">
      <c r="J1" s="1"/>
      <c r="K1" s="1"/>
    </row>
    <row r="2" spans="1:32" ht="14.4" x14ac:dyDescent="0.3">
      <c r="A2" s="1"/>
      <c r="B2" s="16" t="s">
        <v>0</v>
      </c>
      <c r="L2" s="16" t="s">
        <v>1</v>
      </c>
      <c r="W2" t="s">
        <v>21</v>
      </c>
    </row>
    <row r="3" spans="1:32" ht="14.4" x14ac:dyDescent="0.3">
      <c r="B3" s="13" t="s">
        <v>13</v>
      </c>
      <c r="C3" s="14" t="s">
        <v>19</v>
      </c>
      <c r="D3" s="13" t="s">
        <v>17</v>
      </c>
      <c r="E3" s="13" t="s">
        <v>14</v>
      </c>
      <c r="F3" s="15" t="s">
        <v>20</v>
      </c>
      <c r="G3" s="13" t="s">
        <v>15</v>
      </c>
      <c r="H3" s="13" t="s">
        <v>16</v>
      </c>
      <c r="I3" s="13" t="s">
        <v>18</v>
      </c>
      <c r="K3" s="1"/>
      <c r="L3" s="13" t="s">
        <v>13</v>
      </c>
      <c r="M3" s="14" t="s">
        <v>19</v>
      </c>
      <c r="N3" s="13" t="s">
        <v>17</v>
      </c>
      <c r="O3" s="13" t="s">
        <v>14</v>
      </c>
      <c r="P3" s="15" t="s">
        <v>20</v>
      </c>
      <c r="Q3" s="13" t="s">
        <v>15</v>
      </c>
      <c r="R3" s="13" t="s">
        <v>16</v>
      </c>
      <c r="S3" s="13" t="s">
        <v>18</v>
      </c>
    </row>
    <row r="4" spans="1:32" ht="14.4" x14ac:dyDescent="0.3">
      <c r="B4" s="17" t="s">
        <v>24</v>
      </c>
      <c r="C4" s="17"/>
      <c r="L4" s="17" t="s">
        <v>24</v>
      </c>
      <c r="M4" s="17"/>
      <c r="W4" t="s">
        <v>13</v>
      </c>
      <c r="X4" s="11" t="s">
        <v>19</v>
      </c>
      <c r="Y4" t="s">
        <v>17</v>
      </c>
      <c r="Z4" t="s">
        <v>14</v>
      </c>
      <c r="AA4" s="12" t="s">
        <v>20</v>
      </c>
      <c r="AB4" t="s">
        <v>15</v>
      </c>
      <c r="AC4" t="s">
        <v>16</v>
      </c>
      <c r="AD4" t="s">
        <v>18</v>
      </c>
      <c r="AF4" t="s">
        <v>22</v>
      </c>
    </row>
    <row r="7" spans="1:32" x14ac:dyDescent="0.25">
      <c r="A7">
        <v>1800</v>
      </c>
      <c r="B7" s="2"/>
      <c r="C7" s="2"/>
      <c r="D7" s="2"/>
      <c r="E7" s="2"/>
      <c r="F7" s="2"/>
      <c r="G7" s="2"/>
      <c r="H7" s="2"/>
      <c r="I7" s="2"/>
      <c r="L7" s="2"/>
      <c r="M7" s="2"/>
      <c r="N7" s="2"/>
      <c r="O7" s="2"/>
      <c r="P7" s="2"/>
      <c r="Q7" s="2"/>
      <c r="R7" s="2"/>
      <c r="S7" s="2"/>
      <c r="U7" s="2"/>
      <c r="V7" s="2"/>
      <c r="W7" s="2">
        <f>L7-'Constant prices, 1913 borders'!L7</f>
        <v>0</v>
      </c>
      <c r="X7" s="2">
        <f>M7-'Constant prices, 1913 borders'!M7</f>
        <v>0</v>
      </c>
      <c r="Y7" s="2">
        <f>N7-'Constant prices, 1913 borders'!N7</f>
        <v>0</v>
      </c>
      <c r="Z7" s="2">
        <f>O7-'Constant prices, 1913 borders'!O7</f>
        <v>0</v>
      </c>
      <c r="AA7" s="2">
        <f>P7-'Constant prices, 1913 borders'!P7</f>
        <v>0</v>
      </c>
      <c r="AB7" s="2">
        <f>Q7-'Constant prices, 1913 borders'!Q7</f>
        <v>0</v>
      </c>
      <c r="AC7" s="2">
        <f>R7-'Constant prices, 1913 borders'!R7</f>
        <v>0</v>
      </c>
      <c r="AD7" s="2">
        <f>S7-'Constant prices, 1913 borders'!S7</f>
        <v>0</v>
      </c>
      <c r="AF7">
        <f>+COUNTIF(W7:AD7,"&gt;0")</f>
        <v>0</v>
      </c>
    </row>
    <row r="8" spans="1:32" x14ac:dyDescent="0.25">
      <c r="A8">
        <v>1801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U8" s="2"/>
      <c r="V8" s="2"/>
      <c r="W8" s="2">
        <f>L8-'Constant prices, 1913 borders'!L8</f>
        <v>0</v>
      </c>
      <c r="X8" s="2">
        <f>M8-'Constant prices, 1913 borders'!M8</f>
        <v>0</v>
      </c>
      <c r="Y8" s="2">
        <f>N8-'Constant prices, 1913 borders'!N8</f>
        <v>0</v>
      </c>
      <c r="Z8" s="2">
        <f>O8-'Constant prices, 1913 borders'!O8</f>
        <v>0</v>
      </c>
      <c r="AA8" s="2">
        <f>P8-'Constant prices, 1913 borders'!P8</f>
        <v>0</v>
      </c>
      <c r="AB8" s="2">
        <f>Q8-'Constant prices, 1913 borders'!Q8</f>
        <v>0</v>
      </c>
      <c r="AC8" s="2">
        <f>R8-'Constant prices, 1913 borders'!R8</f>
        <v>0</v>
      </c>
      <c r="AD8" s="2">
        <f>S8-'Constant prices, 1913 borders'!S8</f>
        <v>0</v>
      </c>
      <c r="AF8">
        <f t="shared" ref="AF8:AF71" si="0">+COUNTIF(W8:AD8,"&gt;0")</f>
        <v>0</v>
      </c>
    </row>
    <row r="9" spans="1:32" x14ac:dyDescent="0.25">
      <c r="A9">
        <v>1802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U9" s="2"/>
      <c r="V9" s="2"/>
      <c r="W9" s="2">
        <f>L9-'Constant prices, 1913 borders'!L9</f>
        <v>0</v>
      </c>
      <c r="X9" s="2">
        <f>M9-'Constant prices, 1913 borders'!M9</f>
        <v>0</v>
      </c>
      <c r="Y9" s="2">
        <f>N9-'Constant prices, 1913 borders'!N9</f>
        <v>0</v>
      </c>
      <c r="Z9" s="2">
        <f>O9-'Constant prices, 1913 borders'!O9</f>
        <v>0</v>
      </c>
      <c r="AA9" s="2">
        <f>P9-'Constant prices, 1913 borders'!P9</f>
        <v>0</v>
      </c>
      <c r="AB9" s="2">
        <f>Q9-'Constant prices, 1913 borders'!Q9</f>
        <v>0</v>
      </c>
      <c r="AC9" s="2">
        <f>R9-'Constant prices, 1913 borders'!R9</f>
        <v>0</v>
      </c>
      <c r="AD9" s="2">
        <f>S9-'Constant prices, 1913 borders'!S9</f>
        <v>0</v>
      </c>
      <c r="AF9">
        <f t="shared" si="0"/>
        <v>0</v>
      </c>
    </row>
    <row r="10" spans="1:32" x14ac:dyDescent="0.25">
      <c r="A10">
        <v>1803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U10" s="2"/>
      <c r="V10" s="2"/>
      <c r="W10" s="2">
        <f>L10-'Constant prices, 1913 borders'!L10</f>
        <v>0</v>
      </c>
      <c r="X10" s="2">
        <f>M10-'Constant prices, 1913 borders'!M10</f>
        <v>0</v>
      </c>
      <c r="Y10" s="2">
        <f>N10-'Constant prices, 1913 borders'!N10</f>
        <v>0</v>
      </c>
      <c r="Z10" s="2">
        <f>O10-'Constant prices, 1913 borders'!O10</f>
        <v>0</v>
      </c>
      <c r="AA10" s="2">
        <f>P10-'Constant prices, 1913 borders'!P10</f>
        <v>0</v>
      </c>
      <c r="AB10" s="2">
        <f>Q10-'Constant prices, 1913 borders'!Q10</f>
        <v>0</v>
      </c>
      <c r="AC10" s="2">
        <f>R10-'Constant prices, 1913 borders'!R10</f>
        <v>0</v>
      </c>
      <c r="AD10" s="2">
        <f>S10-'Constant prices, 1913 borders'!S10</f>
        <v>0</v>
      </c>
      <c r="AF10">
        <f t="shared" si="0"/>
        <v>0</v>
      </c>
    </row>
    <row r="11" spans="1:32" x14ac:dyDescent="0.25">
      <c r="A11">
        <v>1804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U11" s="2"/>
      <c r="V11" s="2"/>
      <c r="W11" s="2">
        <f>L11-'Constant prices, 1913 borders'!L11</f>
        <v>0</v>
      </c>
      <c r="X11" s="2">
        <f>M11-'Constant prices, 1913 borders'!M11</f>
        <v>0</v>
      </c>
      <c r="Y11" s="2">
        <f>N11-'Constant prices, 1913 borders'!N11</f>
        <v>0</v>
      </c>
      <c r="Z11" s="2">
        <f>O11-'Constant prices, 1913 borders'!O11</f>
        <v>0</v>
      </c>
      <c r="AA11" s="2">
        <f>P11-'Constant prices, 1913 borders'!P11</f>
        <v>0</v>
      </c>
      <c r="AB11" s="2">
        <f>Q11-'Constant prices, 1913 borders'!Q11</f>
        <v>0</v>
      </c>
      <c r="AC11" s="2">
        <f>R11-'Constant prices, 1913 borders'!R11</f>
        <v>0</v>
      </c>
      <c r="AD11" s="2">
        <f>S11-'Constant prices, 1913 borders'!S11</f>
        <v>0</v>
      </c>
      <c r="AF11">
        <f t="shared" si="0"/>
        <v>0</v>
      </c>
    </row>
    <row r="12" spans="1:32" x14ac:dyDescent="0.25">
      <c r="A12">
        <v>1805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U12" s="2"/>
      <c r="V12" s="2"/>
      <c r="W12" s="2">
        <f>L12-'Constant prices, 1913 borders'!L12</f>
        <v>0</v>
      </c>
      <c r="X12" s="2">
        <f>M12-'Constant prices, 1913 borders'!M12</f>
        <v>0</v>
      </c>
      <c r="Y12" s="2">
        <f>N12-'Constant prices, 1913 borders'!N12</f>
        <v>0</v>
      </c>
      <c r="Z12" s="2">
        <f>O12-'Constant prices, 1913 borders'!O12</f>
        <v>0</v>
      </c>
      <c r="AA12" s="2">
        <f>P12-'Constant prices, 1913 borders'!P12</f>
        <v>0</v>
      </c>
      <c r="AB12" s="2">
        <f>Q12-'Constant prices, 1913 borders'!Q12</f>
        <v>0</v>
      </c>
      <c r="AC12" s="2">
        <f>R12-'Constant prices, 1913 borders'!R12</f>
        <v>0</v>
      </c>
      <c r="AD12" s="2">
        <f>S12-'Constant prices, 1913 borders'!S12</f>
        <v>0</v>
      </c>
      <c r="AF12">
        <f t="shared" si="0"/>
        <v>0</v>
      </c>
    </row>
    <row r="13" spans="1:32" x14ac:dyDescent="0.25">
      <c r="A13">
        <v>1806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U13" s="2"/>
      <c r="V13" s="2"/>
      <c r="W13" s="2">
        <f>L13-'Constant prices, 1913 borders'!L13</f>
        <v>0</v>
      </c>
      <c r="X13" s="2">
        <f>M13-'Constant prices, 1913 borders'!M13</f>
        <v>0</v>
      </c>
      <c r="Y13" s="2">
        <f>N13-'Constant prices, 1913 borders'!N13</f>
        <v>0</v>
      </c>
      <c r="Z13" s="2">
        <f>O13-'Constant prices, 1913 borders'!O13</f>
        <v>0</v>
      </c>
      <c r="AA13" s="2">
        <f>P13-'Constant prices, 1913 borders'!P13</f>
        <v>0</v>
      </c>
      <c r="AB13" s="2">
        <f>Q13-'Constant prices, 1913 borders'!Q13</f>
        <v>0</v>
      </c>
      <c r="AC13" s="2">
        <f>R13-'Constant prices, 1913 borders'!R13</f>
        <v>0</v>
      </c>
      <c r="AD13" s="2">
        <f>S13-'Constant prices, 1913 borders'!S13</f>
        <v>0</v>
      </c>
      <c r="AF13">
        <f t="shared" si="0"/>
        <v>0</v>
      </c>
    </row>
    <row r="14" spans="1:32" x14ac:dyDescent="0.25">
      <c r="A14">
        <v>1807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U14" s="2"/>
      <c r="V14" s="2"/>
      <c r="W14" s="2">
        <f>L14-'Constant prices, 1913 borders'!L14</f>
        <v>0</v>
      </c>
      <c r="X14" s="2">
        <f>M14-'Constant prices, 1913 borders'!M14</f>
        <v>0</v>
      </c>
      <c r="Y14" s="2">
        <f>N14-'Constant prices, 1913 borders'!N14</f>
        <v>0</v>
      </c>
      <c r="Z14" s="2">
        <f>O14-'Constant prices, 1913 borders'!O14</f>
        <v>0</v>
      </c>
      <c r="AA14" s="2">
        <f>P14-'Constant prices, 1913 borders'!P14</f>
        <v>0</v>
      </c>
      <c r="AB14" s="2">
        <f>Q14-'Constant prices, 1913 borders'!Q14</f>
        <v>0</v>
      </c>
      <c r="AC14" s="2">
        <f>R14-'Constant prices, 1913 borders'!R14</f>
        <v>0</v>
      </c>
      <c r="AD14" s="2">
        <f>S14-'Constant prices, 1913 borders'!S14</f>
        <v>0</v>
      </c>
      <c r="AF14">
        <f t="shared" si="0"/>
        <v>0</v>
      </c>
    </row>
    <row r="15" spans="1:32" x14ac:dyDescent="0.25">
      <c r="A15">
        <v>1808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U15" s="2"/>
      <c r="V15" s="2"/>
      <c r="W15" s="2">
        <f>L15-'Constant prices, 1913 borders'!L15</f>
        <v>0</v>
      </c>
      <c r="X15" s="2">
        <f>M15-'Constant prices, 1913 borders'!M15</f>
        <v>0</v>
      </c>
      <c r="Y15" s="2">
        <f>N15-'Constant prices, 1913 borders'!N15</f>
        <v>0</v>
      </c>
      <c r="Z15" s="2">
        <f>O15-'Constant prices, 1913 borders'!O15</f>
        <v>0</v>
      </c>
      <c r="AA15" s="2">
        <f>P15-'Constant prices, 1913 borders'!P15</f>
        <v>0</v>
      </c>
      <c r="AB15" s="2">
        <f>Q15-'Constant prices, 1913 borders'!Q15</f>
        <v>0</v>
      </c>
      <c r="AC15" s="2">
        <f>R15-'Constant prices, 1913 borders'!R15</f>
        <v>0</v>
      </c>
      <c r="AD15" s="2">
        <f>S15-'Constant prices, 1913 borders'!S15</f>
        <v>0</v>
      </c>
      <c r="AF15">
        <f t="shared" si="0"/>
        <v>0</v>
      </c>
    </row>
    <row r="16" spans="1:32" x14ac:dyDescent="0.25">
      <c r="A16">
        <v>1809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U16" s="2"/>
      <c r="V16" s="2"/>
      <c r="W16" s="2">
        <f>L16-'Constant prices, 1913 borders'!L16</f>
        <v>0</v>
      </c>
      <c r="X16" s="2">
        <f>M16-'Constant prices, 1913 borders'!M16</f>
        <v>0</v>
      </c>
      <c r="Y16" s="2">
        <f>N16-'Constant prices, 1913 borders'!N16</f>
        <v>0</v>
      </c>
      <c r="Z16" s="2">
        <f>O16-'Constant prices, 1913 borders'!O16</f>
        <v>0</v>
      </c>
      <c r="AA16" s="2">
        <f>P16-'Constant prices, 1913 borders'!P16</f>
        <v>0</v>
      </c>
      <c r="AB16" s="2">
        <f>Q16-'Constant prices, 1913 borders'!Q16</f>
        <v>0</v>
      </c>
      <c r="AC16" s="2">
        <f>R16-'Constant prices, 1913 borders'!R16</f>
        <v>0</v>
      </c>
      <c r="AD16" s="2">
        <f>S16-'Constant prices, 1913 borders'!S16</f>
        <v>0</v>
      </c>
      <c r="AF16">
        <f t="shared" si="0"/>
        <v>0</v>
      </c>
    </row>
    <row r="17" spans="1:32" x14ac:dyDescent="0.25">
      <c r="A17">
        <v>1810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U17" s="2"/>
      <c r="V17" s="2"/>
      <c r="W17" s="2">
        <f>L17-'Constant prices, 1913 borders'!L17</f>
        <v>0</v>
      </c>
      <c r="X17" s="2">
        <f>M17-'Constant prices, 1913 borders'!M17</f>
        <v>0</v>
      </c>
      <c r="Y17" s="2">
        <f>N17-'Constant prices, 1913 borders'!N17</f>
        <v>0</v>
      </c>
      <c r="Z17" s="2">
        <f>O17-'Constant prices, 1913 borders'!O17</f>
        <v>0</v>
      </c>
      <c r="AA17" s="2">
        <f>P17-'Constant prices, 1913 borders'!P17</f>
        <v>0</v>
      </c>
      <c r="AB17" s="2">
        <f>Q17-'Constant prices, 1913 borders'!Q17</f>
        <v>0</v>
      </c>
      <c r="AC17" s="2">
        <f>R17-'Constant prices, 1913 borders'!R17</f>
        <v>0</v>
      </c>
      <c r="AD17" s="2">
        <f>S17-'Constant prices, 1913 borders'!S17</f>
        <v>0</v>
      </c>
      <c r="AF17">
        <f t="shared" si="0"/>
        <v>0</v>
      </c>
    </row>
    <row r="18" spans="1:32" x14ac:dyDescent="0.25">
      <c r="A18">
        <v>1811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U18" s="2"/>
      <c r="V18" s="2"/>
      <c r="W18" s="2">
        <f>L18-'Constant prices, 1913 borders'!L18</f>
        <v>0</v>
      </c>
      <c r="X18" s="2">
        <f>M18-'Constant prices, 1913 borders'!M18</f>
        <v>0</v>
      </c>
      <c r="Y18" s="2">
        <f>N18-'Constant prices, 1913 borders'!N18</f>
        <v>0</v>
      </c>
      <c r="Z18" s="2">
        <f>O18-'Constant prices, 1913 borders'!O18</f>
        <v>0</v>
      </c>
      <c r="AA18" s="2">
        <f>P18-'Constant prices, 1913 borders'!P18</f>
        <v>0</v>
      </c>
      <c r="AB18" s="2">
        <f>Q18-'Constant prices, 1913 borders'!Q18</f>
        <v>0</v>
      </c>
      <c r="AC18" s="2">
        <f>R18-'Constant prices, 1913 borders'!R18</f>
        <v>0</v>
      </c>
      <c r="AD18" s="2">
        <f>S18-'Constant prices, 1913 borders'!S18</f>
        <v>0</v>
      </c>
      <c r="AF18">
        <f t="shared" si="0"/>
        <v>0</v>
      </c>
    </row>
    <row r="19" spans="1:32" x14ac:dyDescent="0.25">
      <c r="A19">
        <v>1812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U19" s="2"/>
      <c r="V19" s="2"/>
      <c r="W19" s="2">
        <f>L19-'Constant prices, 1913 borders'!L19</f>
        <v>0</v>
      </c>
      <c r="X19" s="2">
        <f>M19-'Constant prices, 1913 borders'!M19</f>
        <v>0</v>
      </c>
      <c r="Y19" s="2">
        <f>N19-'Constant prices, 1913 borders'!N19</f>
        <v>0</v>
      </c>
      <c r="Z19" s="2">
        <f>O19-'Constant prices, 1913 borders'!O19</f>
        <v>0</v>
      </c>
      <c r="AA19" s="2">
        <f>P19-'Constant prices, 1913 borders'!P19</f>
        <v>0</v>
      </c>
      <c r="AB19" s="2">
        <f>Q19-'Constant prices, 1913 borders'!Q19</f>
        <v>0</v>
      </c>
      <c r="AC19" s="2">
        <f>R19-'Constant prices, 1913 borders'!R19</f>
        <v>0</v>
      </c>
      <c r="AD19" s="2">
        <f>S19-'Constant prices, 1913 borders'!S19</f>
        <v>0</v>
      </c>
      <c r="AF19">
        <f t="shared" si="0"/>
        <v>0</v>
      </c>
    </row>
    <row r="20" spans="1:32" x14ac:dyDescent="0.25">
      <c r="A20">
        <v>1813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U20" s="2"/>
      <c r="V20" s="2"/>
      <c r="W20" s="2">
        <f>L20-'Constant prices, 1913 borders'!L20</f>
        <v>0</v>
      </c>
      <c r="X20" s="2">
        <f>M20-'Constant prices, 1913 borders'!M20</f>
        <v>0</v>
      </c>
      <c r="Y20" s="2">
        <f>N20-'Constant prices, 1913 borders'!N20</f>
        <v>0</v>
      </c>
      <c r="Z20" s="2">
        <f>O20-'Constant prices, 1913 borders'!O20</f>
        <v>0</v>
      </c>
      <c r="AA20" s="2">
        <f>P20-'Constant prices, 1913 borders'!P20</f>
        <v>0</v>
      </c>
      <c r="AB20" s="2">
        <f>Q20-'Constant prices, 1913 borders'!Q20</f>
        <v>0</v>
      </c>
      <c r="AC20" s="2">
        <f>R20-'Constant prices, 1913 borders'!R20</f>
        <v>0</v>
      </c>
      <c r="AD20" s="2">
        <f>S20-'Constant prices, 1913 borders'!S20</f>
        <v>0</v>
      </c>
      <c r="AF20">
        <f t="shared" si="0"/>
        <v>0</v>
      </c>
    </row>
    <row r="21" spans="1:32" x14ac:dyDescent="0.25">
      <c r="A21">
        <v>1814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U21" s="2"/>
      <c r="V21" s="2"/>
      <c r="W21" s="2">
        <f>L21-'Constant prices, 1913 borders'!L21</f>
        <v>0</v>
      </c>
      <c r="X21" s="2">
        <f>M21-'Constant prices, 1913 borders'!M21</f>
        <v>0</v>
      </c>
      <c r="Y21" s="2">
        <f>N21-'Constant prices, 1913 borders'!N21</f>
        <v>0</v>
      </c>
      <c r="Z21" s="2">
        <f>O21-'Constant prices, 1913 borders'!O21</f>
        <v>0</v>
      </c>
      <c r="AA21" s="2">
        <f>P21-'Constant prices, 1913 borders'!P21</f>
        <v>0</v>
      </c>
      <c r="AB21" s="2">
        <f>Q21-'Constant prices, 1913 borders'!Q21</f>
        <v>0</v>
      </c>
      <c r="AC21" s="2">
        <f>R21-'Constant prices, 1913 borders'!R21</f>
        <v>0</v>
      </c>
      <c r="AD21" s="2">
        <f>S21-'Constant prices, 1913 borders'!S21</f>
        <v>0</v>
      </c>
      <c r="AF21">
        <f t="shared" si="0"/>
        <v>0</v>
      </c>
    </row>
    <row r="22" spans="1:32" x14ac:dyDescent="0.25">
      <c r="A22">
        <v>1815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U22" s="2"/>
      <c r="V22" s="2"/>
      <c r="W22" s="2">
        <f>L22-'Constant prices, 1913 borders'!L22</f>
        <v>0</v>
      </c>
      <c r="X22" s="2">
        <f>M22-'Constant prices, 1913 borders'!M22</f>
        <v>0</v>
      </c>
      <c r="Y22" s="2">
        <f>N22-'Constant prices, 1913 borders'!N22</f>
        <v>0</v>
      </c>
      <c r="Z22" s="2">
        <f>O22-'Constant prices, 1913 borders'!O22</f>
        <v>0</v>
      </c>
      <c r="AA22" s="2">
        <f>P22-'Constant prices, 1913 borders'!P22</f>
        <v>0</v>
      </c>
      <c r="AB22" s="2">
        <f>Q22-'Constant prices, 1913 borders'!Q22</f>
        <v>0</v>
      </c>
      <c r="AC22" s="2">
        <f>R22-'Constant prices, 1913 borders'!R22</f>
        <v>0</v>
      </c>
      <c r="AD22" s="2">
        <f>S22-'Constant prices, 1913 borders'!S22</f>
        <v>0</v>
      </c>
      <c r="AF22">
        <f t="shared" si="0"/>
        <v>0</v>
      </c>
    </row>
    <row r="23" spans="1:32" x14ac:dyDescent="0.25">
      <c r="A23">
        <v>1816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U23" s="2"/>
      <c r="V23" s="2"/>
      <c r="W23" s="2">
        <f>L23-'Constant prices, 1913 borders'!L23</f>
        <v>0</v>
      </c>
      <c r="X23" s="2">
        <f>M23-'Constant prices, 1913 borders'!M23</f>
        <v>0</v>
      </c>
      <c r="Y23" s="2">
        <f>N23-'Constant prices, 1913 borders'!N23</f>
        <v>0</v>
      </c>
      <c r="Z23" s="2">
        <f>O23-'Constant prices, 1913 borders'!O23</f>
        <v>0</v>
      </c>
      <c r="AA23" s="2">
        <f>P23-'Constant prices, 1913 borders'!P23</f>
        <v>0</v>
      </c>
      <c r="AB23" s="2">
        <f>Q23-'Constant prices, 1913 borders'!Q23</f>
        <v>0</v>
      </c>
      <c r="AC23" s="2">
        <f>R23-'Constant prices, 1913 borders'!R23</f>
        <v>0</v>
      </c>
      <c r="AD23" s="2">
        <f>S23-'Constant prices, 1913 borders'!S23</f>
        <v>0</v>
      </c>
      <c r="AF23">
        <f t="shared" si="0"/>
        <v>0</v>
      </c>
    </row>
    <row r="24" spans="1:32" x14ac:dyDescent="0.25">
      <c r="A24">
        <v>1817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U24" s="2"/>
      <c r="V24" s="2"/>
      <c r="W24" s="2">
        <f>L24-'Constant prices, 1913 borders'!L24</f>
        <v>0</v>
      </c>
      <c r="X24" s="2">
        <f>M24-'Constant prices, 1913 borders'!M24</f>
        <v>0</v>
      </c>
      <c r="Y24" s="2">
        <f>N24-'Constant prices, 1913 borders'!N24</f>
        <v>0</v>
      </c>
      <c r="Z24" s="2">
        <f>O24-'Constant prices, 1913 borders'!O24</f>
        <v>0</v>
      </c>
      <c r="AA24" s="2">
        <f>P24-'Constant prices, 1913 borders'!P24</f>
        <v>0</v>
      </c>
      <c r="AB24" s="2">
        <f>Q24-'Constant prices, 1913 borders'!Q24</f>
        <v>0</v>
      </c>
      <c r="AC24" s="2">
        <f>R24-'Constant prices, 1913 borders'!R24</f>
        <v>0</v>
      </c>
      <c r="AD24" s="2">
        <f>S24-'Constant prices, 1913 borders'!S24</f>
        <v>0</v>
      </c>
      <c r="AF24">
        <f t="shared" si="0"/>
        <v>0</v>
      </c>
    </row>
    <row r="25" spans="1:32" x14ac:dyDescent="0.25">
      <c r="A25">
        <v>1818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U25" s="2"/>
      <c r="V25" s="2"/>
      <c r="W25" s="2">
        <f>L25-'Constant prices, 1913 borders'!L25</f>
        <v>0</v>
      </c>
      <c r="X25" s="2">
        <f>M25-'Constant prices, 1913 borders'!M25</f>
        <v>0</v>
      </c>
      <c r="Y25" s="2">
        <f>N25-'Constant prices, 1913 borders'!N25</f>
        <v>0</v>
      </c>
      <c r="Z25" s="2">
        <f>O25-'Constant prices, 1913 borders'!O25</f>
        <v>0</v>
      </c>
      <c r="AA25" s="2">
        <f>P25-'Constant prices, 1913 borders'!P25</f>
        <v>0</v>
      </c>
      <c r="AB25" s="2">
        <f>Q25-'Constant prices, 1913 borders'!Q25</f>
        <v>0</v>
      </c>
      <c r="AC25" s="2">
        <f>R25-'Constant prices, 1913 borders'!R25</f>
        <v>0</v>
      </c>
      <c r="AD25" s="2">
        <f>S25-'Constant prices, 1913 borders'!S25</f>
        <v>0</v>
      </c>
      <c r="AF25">
        <f t="shared" si="0"/>
        <v>0</v>
      </c>
    </row>
    <row r="26" spans="1:32" x14ac:dyDescent="0.25">
      <c r="A26">
        <v>1819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U26" s="2"/>
      <c r="V26" s="2"/>
      <c r="W26" s="2">
        <f>L26-'Constant prices, 1913 borders'!L26</f>
        <v>0</v>
      </c>
      <c r="X26" s="2">
        <f>M26-'Constant prices, 1913 borders'!M26</f>
        <v>0</v>
      </c>
      <c r="Y26" s="2">
        <f>N26-'Constant prices, 1913 borders'!N26</f>
        <v>0</v>
      </c>
      <c r="Z26" s="2">
        <f>O26-'Constant prices, 1913 borders'!O26</f>
        <v>0</v>
      </c>
      <c r="AA26" s="2">
        <f>P26-'Constant prices, 1913 borders'!P26</f>
        <v>0</v>
      </c>
      <c r="AB26" s="2">
        <f>Q26-'Constant prices, 1913 borders'!Q26</f>
        <v>0</v>
      </c>
      <c r="AC26" s="2">
        <f>R26-'Constant prices, 1913 borders'!R26</f>
        <v>0</v>
      </c>
      <c r="AD26" s="2">
        <f>S26-'Constant prices, 1913 borders'!S26</f>
        <v>0</v>
      </c>
      <c r="AF26">
        <f t="shared" si="0"/>
        <v>0</v>
      </c>
    </row>
    <row r="27" spans="1:32" x14ac:dyDescent="0.25">
      <c r="A27">
        <v>1820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U27" s="2"/>
      <c r="V27" s="2"/>
      <c r="W27" s="2">
        <f>L27-'Constant prices, 1913 borders'!L27</f>
        <v>0</v>
      </c>
      <c r="X27" s="2">
        <f>M27-'Constant prices, 1913 borders'!M27</f>
        <v>0</v>
      </c>
      <c r="Y27" s="2">
        <f>N27-'Constant prices, 1913 borders'!N27</f>
        <v>0</v>
      </c>
      <c r="Z27" s="2">
        <f>O27-'Constant prices, 1913 borders'!O27</f>
        <v>0</v>
      </c>
      <c r="AA27" s="2">
        <f>P27-'Constant prices, 1913 borders'!P27</f>
        <v>0</v>
      </c>
      <c r="AB27" s="2">
        <f>Q27-'Constant prices, 1913 borders'!Q27</f>
        <v>0</v>
      </c>
      <c r="AC27" s="2">
        <f>R27-'Constant prices, 1913 borders'!R27</f>
        <v>0</v>
      </c>
      <c r="AD27" s="2">
        <f>S27-'Constant prices, 1913 borders'!S27</f>
        <v>0</v>
      </c>
      <c r="AF27">
        <f t="shared" si="0"/>
        <v>0</v>
      </c>
    </row>
    <row r="28" spans="1:32" x14ac:dyDescent="0.25">
      <c r="A28">
        <v>1821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U28" s="2"/>
      <c r="V28" s="2"/>
      <c r="W28" s="2">
        <f>L28-'Constant prices, 1913 borders'!L28</f>
        <v>0</v>
      </c>
      <c r="X28" s="2">
        <f>M28-'Constant prices, 1913 borders'!M28</f>
        <v>0</v>
      </c>
      <c r="Y28" s="2">
        <f>N28-'Constant prices, 1913 borders'!N28</f>
        <v>0</v>
      </c>
      <c r="Z28" s="2">
        <f>O28-'Constant prices, 1913 borders'!O28</f>
        <v>0</v>
      </c>
      <c r="AA28" s="2">
        <f>P28-'Constant prices, 1913 borders'!P28</f>
        <v>0</v>
      </c>
      <c r="AB28" s="2">
        <f>Q28-'Constant prices, 1913 borders'!Q28</f>
        <v>0</v>
      </c>
      <c r="AC28" s="2">
        <f>R28-'Constant prices, 1913 borders'!R28</f>
        <v>0</v>
      </c>
      <c r="AD28" s="2">
        <f>S28-'Constant prices, 1913 borders'!S28</f>
        <v>0</v>
      </c>
      <c r="AF28">
        <f t="shared" si="0"/>
        <v>0</v>
      </c>
    </row>
    <row r="29" spans="1:32" x14ac:dyDescent="0.25">
      <c r="A29">
        <v>1822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U29" s="2"/>
      <c r="V29" s="2"/>
      <c r="W29" s="2">
        <f>L29-'Constant prices, 1913 borders'!L29</f>
        <v>0</v>
      </c>
      <c r="X29" s="2">
        <f>M29-'Constant prices, 1913 borders'!M29</f>
        <v>0</v>
      </c>
      <c r="Y29" s="2">
        <f>N29-'Constant prices, 1913 borders'!N29</f>
        <v>0</v>
      </c>
      <c r="Z29" s="2">
        <f>O29-'Constant prices, 1913 borders'!O29</f>
        <v>0</v>
      </c>
      <c r="AA29" s="2">
        <f>P29-'Constant prices, 1913 borders'!P29</f>
        <v>0</v>
      </c>
      <c r="AB29" s="2">
        <f>Q29-'Constant prices, 1913 borders'!Q29</f>
        <v>0</v>
      </c>
      <c r="AC29" s="2">
        <f>R29-'Constant prices, 1913 borders'!R29</f>
        <v>0</v>
      </c>
      <c r="AD29" s="2">
        <f>S29-'Constant prices, 1913 borders'!S29</f>
        <v>0</v>
      </c>
      <c r="AF29">
        <f t="shared" si="0"/>
        <v>0</v>
      </c>
    </row>
    <row r="30" spans="1:32" x14ac:dyDescent="0.25">
      <c r="A30">
        <v>1823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U30" s="2"/>
      <c r="V30" s="2"/>
      <c r="W30" s="2">
        <f>L30-'Constant prices, 1913 borders'!L30</f>
        <v>0</v>
      </c>
      <c r="X30" s="2">
        <f>M30-'Constant prices, 1913 borders'!M30</f>
        <v>0</v>
      </c>
      <c r="Y30" s="2">
        <f>N30-'Constant prices, 1913 borders'!N30</f>
        <v>0</v>
      </c>
      <c r="Z30" s="2">
        <f>O30-'Constant prices, 1913 borders'!O30</f>
        <v>0</v>
      </c>
      <c r="AA30" s="2">
        <f>P30-'Constant prices, 1913 borders'!P30</f>
        <v>0</v>
      </c>
      <c r="AB30" s="2">
        <f>Q30-'Constant prices, 1913 borders'!Q30</f>
        <v>0</v>
      </c>
      <c r="AC30" s="2">
        <f>R30-'Constant prices, 1913 borders'!R30</f>
        <v>0</v>
      </c>
      <c r="AD30" s="2">
        <f>S30-'Constant prices, 1913 borders'!S30</f>
        <v>0</v>
      </c>
      <c r="AF30">
        <f t="shared" si="0"/>
        <v>0</v>
      </c>
    </row>
    <row r="31" spans="1:32" x14ac:dyDescent="0.25">
      <c r="A31">
        <v>1824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U31" s="2"/>
      <c r="V31" s="2"/>
      <c r="W31" s="2">
        <f>L31-'Constant prices, 1913 borders'!L31</f>
        <v>0</v>
      </c>
      <c r="X31" s="2">
        <f>M31-'Constant prices, 1913 borders'!M31</f>
        <v>0</v>
      </c>
      <c r="Y31" s="2">
        <f>N31-'Constant prices, 1913 borders'!N31</f>
        <v>0</v>
      </c>
      <c r="Z31" s="2">
        <f>O31-'Constant prices, 1913 borders'!O31</f>
        <v>0</v>
      </c>
      <c r="AA31" s="2">
        <f>P31-'Constant prices, 1913 borders'!P31</f>
        <v>0</v>
      </c>
      <c r="AB31" s="2">
        <f>Q31-'Constant prices, 1913 borders'!Q31</f>
        <v>0</v>
      </c>
      <c r="AC31" s="2">
        <f>R31-'Constant prices, 1913 borders'!R31</f>
        <v>0</v>
      </c>
      <c r="AD31" s="2">
        <f>S31-'Constant prices, 1913 borders'!S31</f>
        <v>0</v>
      </c>
      <c r="AF31">
        <f t="shared" si="0"/>
        <v>0</v>
      </c>
    </row>
    <row r="32" spans="1:32" x14ac:dyDescent="0.25">
      <c r="A32">
        <v>1825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U32" s="2"/>
      <c r="V32" s="2"/>
      <c r="W32" s="2">
        <f>L32-'Constant prices, 1913 borders'!L32</f>
        <v>0</v>
      </c>
      <c r="X32" s="2">
        <f>M32-'Constant prices, 1913 borders'!M32</f>
        <v>0</v>
      </c>
      <c r="Y32" s="2">
        <f>N32-'Constant prices, 1913 borders'!N32</f>
        <v>0</v>
      </c>
      <c r="Z32" s="2">
        <f>O32-'Constant prices, 1913 borders'!O32</f>
        <v>0</v>
      </c>
      <c r="AA32" s="2">
        <f>P32-'Constant prices, 1913 borders'!P32</f>
        <v>0</v>
      </c>
      <c r="AB32" s="2">
        <f>Q32-'Constant prices, 1913 borders'!Q32</f>
        <v>0</v>
      </c>
      <c r="AC32" s="2">
        <f>R32-'Constant prices, 1913 borders'!R32</f>
        <v>0</v>
      </c>
      <c r="AD32" s="2">
        <f>S32-'Constant prices, 1913 borders'!S32</f>
        <v>0</v>
      </c>
      <c r="AF32">
        <f t="shared" si="0"/>
        <v>0</v>
      </c>
    </row>
    <row r="33" spans="1:32" x14ac:dyDescent="0.25">
      <c r="A33">
        <v>1826</v>
      </c>
      <c r="B33" s="6">
        <v>1.6915229005470134</v>
      </c>
      <c r="C33" s="6"/>
      <c r="D33" s="6"/>
      <c r="E33" s="6"/>
      <c r="F33" s="6"/>
      <c r="G33" s="6"/>
      <c r="H33" s="6"/>
      <c r="I33" s="6"/>
      <c r="J33" s="6"/>
      <c r="K33" s="6"/>
      <c r="L33" s="6">
        <v>0.99090049587719342</v>
      </c>
      <c r="M33" s="6"/>
      <c r="N33" s="6"/>
      <c r="O33" s="6"/>
      <c r="P33" s="6"/>
      <c r="Q33" s="6">
        <v>1.799843186702757E-2</v>
      </c>
      <c r="R33" s="6">
        <v>8.453359317911812E-3</v>
      </c>
      <c r="S33" s="2"/>
      <c r="U33" s="2"/>
      <c r="V33" s="2"/>
      <c r="W33" s="2">
        <f>L33-'Constant prices, 1913 borders'!L33</f>
        <v>0</v>
      </c>
      <c r="X33" s="2">
        <f>M33-'Constant prices, 1913 borders'!M33</f>
        <v>0</v>
      </c>
      <c r="Y33" s="2">
        <f>N33-'Constant prices, 1913 borders'!N33</f>
        <v>0</v>
      </c>
      <c r="Z33" s="2">
        <f>O33-'Constant prices, 1913 borders'!O33</f>
        <v>0</v>
      </c>
      <c r="AA33" s="2">
        <f>P33-'Constant prices, 1913 borders'!P33</f>
        <v>0</v>
      </c>
      <c r="AB33" s="2">
        <f>Q33-'Constant prices, 1913 borders'!Q33</f>
        <v>1.7728524850386732E-2</v>
      </c>
      <c r="AC33" s="2">
        <f>R33-'Constant prices, 1913 borders'!R33</f>
        <v>0</v>
      </c>
      <c r="AD33" s="2">
        <f>S33-'Constant prices, 1913 borders'!S33</f>
        <v>0</v>
      </c>
      <c r="AF33">
        <f t="shared" si="0"/>
        <v>1</v>
      </c>
    </row>
    <row r="34" spans="1:32" x14ac:dyDescent="0.25">
      <c r="A34">
        <v>1827</v>
      </c>
      <c r="B34" s="6">
        <v>2.1315112700887062</v>
      </c>
      <c r="C34" s="6"/>
      <c r="D34" s="6"/>
      <c r="E34" s="6"/>
      <c r="F34" s="6"/>
      <c r="G34" s="6"/>
      <c r="H34" s="6"/>
      <c r="I34" s="6"/>
      <c r="J34" s="6"/>
      <c r="K34" s="6"/>
      <c r="L34" s="6">
        <v>0.93997221490832139</v>
      </c>
      <c r="M34" s="6"/>
      <c r="N34" s="6"/>
      <c r="O34" s="6"/>
      <c r="P34" s="6"/>
      <c r="Q34" s="6">
        <v>1.7136986693751282E-2</v>
      </c>
      <c r="R34" s="6">
        <v>7.6398760420119515E-3</v>
      </c>
      <c r="S34" s="2"/>
      <c r="U34" s="2"/>
      <c r="V34" s="2"/>
      <c r="W34" s="2">
        <f>L34-'Constant prices, 1913 borders'!L34</f>
        <v>0</v>
      </c>
      <c r="X34" s="2">
        <f>M34-'Constant prices, 1913 borders'!M34</f>
        <v>0</v>
      </c>
      <c r="Y34" s="2">
        <f>N34-'Constant prices, 1913 borders'!N34</f>
        <v>0</v>
      </c>
      <c r="Z34" s="2">
        <f>O34-'Constant prices, 1913 borders'!O34</f>
        <v>0</v>
      </c>
      <c r="AA34" s="2">
        <f>P34-'Constant prices, 1913 borders'!P34</f>
        <v>0</v>
      </c>
      <c r="AB34" s="2">
        <f>Q34-'Constant prices, 1913 borders'!Q34</f>
        <v>1.6879998030133445E-2</v>
      </c>
      <c r="AC34" s="2">
        <f>R34-'Constant prices, 1913 borders'!R34</f>
        <v>0</v>
      </c>
      <c r="AD34" s="2">
        <f>S34-'Constant prices, 1913 borders'!S34</f>
        <v>0</v>
      </c>
      <c r="AF34">
        <f t="shared" si="0"/>
        <v>1</v>
      </c>
    </row>
    <row r="35" spans="1:32" x14ac:dyDescent="0.25">
      <c r="A35">
        <v>1828</v>
      </c>
      <c r="B35" s="6">
        <v>2.9617841933932003</v>
      </c>
      <c r="C35" s="6"/>
      <c r="D35" s="6"/>
      <c r="E35" s="6"/>
      <c r="F35" s="6"/>
      <c r="G35" s="6"/>
      <c r="H35" s="6"/>
      <c r="I35" s="6"/>
      <c r="J35" s="6"/>
      <c r="K35" s="6"/>
      <c r="L35" s="6">
        <v>0.98503689528789573</v>
      </c>
      <c r="M35" s="6"/>
      <c r="N35" s="6"/>
      <c r="O35" s="6"/>
      <c r="P35" s="6"/>
      <c r="Q35" s="6">
        <v>1.6926266001580082E-2</v>
      </c>
      <c r="R35" s="6">
        <v>8.0009408786355304E-3</v>
      </c>
      <c r="S35" s="2"/>
      <c r="U35" s="2"/>
      <c r="V35" s="2"/>
      <c r="W35" s="2">
        <f>L35-'Constant prices, 1913 borders'!L35</f>
        <v>0</v>
      </c>
      <c r="X35" s="2">
        <f>M35-'Constant prices, 1913 borders'!M35</f>
        <v>0</v>
      </c>
      <c r="Y35" s="2">
        <f>N35-'Constant prices, 1913 borders'!N35</f>
        <v>0</v>
      </c>
      <c r="Z35" s="2">
        <f>O35-'Constant prices, 1913 borders'!O35</f>
        <v>0</v>
      </c>
      <c r="AA35" s="2">
        <f>P35-'Constant prices, 1913 borders'!P35</f>
        <v>0</v>
      </c>
      <c r="AB35" s="2">
        <f>Q35-'Constant prices, 1913 borders'!Q35</f>
        <v>1.667243733511025E-2</v>
      </c>
      <c r="AC35" s="2">
        <f>R35-'Constant prices, 1913 borders'!R35</f>
        <v>0</v>
      </c>
      <c r="AD35" s="2">
        <f>S35-'Constant prices, 1913 borders'!S35</f>
        <v>0</v>
      </c>
      <c r="AF35">
        <f t="shared" si="0"/>
        <v>1</v>
      </c>
    </row>
    <row r="36" spans="1:32" x14ac:dyDescent="0.25">
      <c r="A36">
        <v>1829</v>
      </c>
      <c r="B36" s="6">
        <v>3.0247261517422928</v>
      </c>
      <c r="C36" s="6"/>
      <c r="D36" s="6"/>
      <c r="E36" s="6"/>
      <c r="F36" s="6"/>
      <c r="G36" s="6"/>
      <c r="H36" s="6"/>
      <c r="I36" s="6"/>
      <c r="J36" s="6"/>
      <c r="K36" s="6"/>
      <c r="L36" s="6">
        <v>1.9769636927303125</v>
      </c>
      <c r="M36" s="6"/>
      <c r="N36" s="6"/>
      <c r="O36" s="6"/>
      <c r="P36" s="6"/>
      <c r="Q36" s="6">
        <v>3.7188311943109731E-2</v>
      </c>
      <c r="R36" s="6">
        <v>1.6094166730966794E-2</v>
      </c>
      <c r="S36" s="2"/>
      <c r="U36" s="2"/>
      <c r="V36" s="2"/>
      <c r="W36" s="2">
        <f>L36-'Constant prices, 1913 borders'!L36</f>
        <v>0</v>
      </c>
      <c r="X36" s="2">
        <f>M36-'Constant prices, 1913 borders'!M36</f>
        <v>0</v>
      </c>
      <c r="Y36" s="2">
        <f>N36-'Constant prices, 1913 borders'!N36</f>
        <v>0</v>
      </c>
      <c r="Z36" s="2">
        <f>O36-'Constant prices, 1913 borders'!O36</f>
        <v>0</v>
      </c>
      <c r="AA36" s="2">
        <f>P36-'Constant prices, 1913 borders'!P36</f>
        <v>0</v>
      </c>
      <c r="AB36" s="2">
        <f>Q36-'Constant prices, 1913 borders'!Q36</f>
        <v>3.6630630784849405E-2</v>
      </c>
      <c r="AC36" s="2">
        <f>R36-'Constant prices, 1913 borders'!R36</f>
        <v>0</v>
      </c>
      <c r="AD36" s="2">
        <f>S36-'Constant prices, 1913 borders'!S36</f>
        <v>0</v>
      </c>
      <c r="AF36">
        <f t="shared" si="0"/>
        <v>1</v>
      </c>
    </row>
    <row r="37" spans="1:32" x14ac:dyDescent="0.25">
      <c r="A37">
        <v>1830</v>
      </c>
      <c r="B37" s="6">
        <v>2.7482811611922209</v>
      </c>
      <c r="C37" s="6"/>
      <c r="D37" s="6"/>
      <c r="E37" s="6"/>
      <c r="F37" s="6"/>
      <c r="G37" s="6"/>
      <c r="H37" s="6"/>
      <c r="I37" s="6"/>
      <c r="J37" s="6"/>
      <c r="K37" s="6"/>
      <c r="L37" s="6">
        <v>1.9773451379456379</v>
      </c>
      <c r="M37" s="6"/>
      <c r="N37" s="6"/>
      <c r="O37" s="6"/>
      <c r="P37" s="6"/>
      <c r="Q37" s="6">
        <v>3.9250692266484297E-2</v>
      </c>
      <c r="R37" s="6">
        <v>1.7148026855509514E-2</v>
      </c>
      <c r="S37" s="4"/>
      <c r="U37" s="2"/>
      <c r="V37" s="2"/>
      <c r="W37" s="2">
        <f>L37-'Constant prices, 1913 borders'!L37</f>
        <v>0</v>
      </c>
      <c r="X37" s="2">
        <f>M37-'Constant prices, 1913 borders'!M37</f>
        <v>0</v>
      </c>
      <c r="Y37" s="2">
        <f>N37-'Constant prices, 1913 borders'!N37</f>
        <v>0</v>
      </c>
      <c r="Z37" s="2">
        <f>O37-'Constant prices, 1913 borders'!O37</f>
        <v>0</v>
      </c>
      <c r="AA37" s="2">
        <f>P37-'Constant prices, 1913 borders'!P37</f>
        <v>0</v>
      </c>
      <c r="AB37" s="2">
        <f>Q37-'Constant prices, 1913 borders'!Q37</f>
        <v>3.8662083362719618E-2</v>
      </c>
      <c r="AC37" s="2">
        <f>R37-'Constant prices, 1913 borders'!R37</f>
        <v>0</v>
      </c>
      <c r="AD37" s="2">
        <f>S37-'Constant prices, 1913 borders'!S37</f>
        <v>0</v>
      </c>
      <c r="AF37">
        <f t="shared" si="0"/>
        <v>1</v>
      </c>
    </row>
    <row r="38" spans="1:32" x14ac:dyDescent="0.25">
      <c r="A38">
        <v>1831</v>
      </c>
      <c r="B38" s="6">
        <v>2.8904511570075799</v>
      </c>
      <c r="C38" s="6"/>
      <c r="D38" s="6"/>
      <c r="E38" s="6"/>
      <c r="F38" s="6"/>
      <c r="G38" s="6"/>
      <c r="H38" s="6"/>
      <c r="I38" s="6"/>
      <c r="J38" s="6"/>
      <c r="K38" s="6"/>
      <c r="L38" s="6">
        <v>3.7961075854867281</v>
      </c>
      <c r="M38" s="6"/>
      <c r="N38" s="6"/>
      <c r="O38" s="6"/>
      <c r="P38" s="6"/>
      <c r="Q38" s="6">
        <v>9.1171772345462601E-2</v>
      </c>
      <c r="R38" s="6">
        <v>3.5562908505478802E-2</v>
      </c>
      <c r="S38" s="4"/>
      <c r="U38" s="2"/>
      <c r="V38" s="2"/>
      <c r="W38" s="2">
        <f>L38-'Constant prices, 1913 borders'!L38</f>
        <v>0</v>
      </c>
      <c r="X38" s="2">
        <f>M38-'Constant prices, 1913 borders'!M38</f>
        <v>0</v>
      </c>
      <c r="Y38" s="2">
        <f>N38-'Constant prices, 1913 borders'!N38</f>
        <v>0</v>
      </c>
      <c r="Z38" s="2">
        <f>O38-'Constant prices, 1913 borders'!O38</f>
        <v>0</v>
      </c>
      <c r="AA38" s="2">
        <f>P38-'Constant prices, 1913 borders'!P38</f>
        <v>0</v>
      </c>
      <c r="AB38" s="2">
        <f>Q38-'Constant prices, 1913 borders'!Q38</f>
        <v>8.9804547619585118E-2</v>
      </c>
      <c r="AC38" s="2">
        <f>R38-'Constant prices, 1913 borders'!R38</f>
        <v>0</v>
      </c>
      <c r="AD38" s="2">
        <f>S38-'Constant prices, 1913 borders'!S38</f>
        <v>0</v>
      </c>
      <c r="AF38">
        <f t="shared" si="0"/>
        <v>1</v>
      </c>
    </row>
    <row r="39" spans="1:32" x14ac:dyDescent="0.25">
      <c r="A39">
        <v>1832</v>
      </c>
      <c r="B39" s="6">
        <v>3.894607394144229</v>
      </c>
      <c r="C39" s="6"/>
      <c r="D39" s="6"/>
      <c r="E39" s="6"/>
      <c r="F39" s="6"/>
      <c r="G39" s="6"/>
      <c r="H39" s="6"/>
      <c r="I39" s="6"/>
      <c r="J39" s="6"/>
      <c r="K39" s="6"/>
      <c r="L39" s="6">
        <v>4.0098995708839764</v>
      </c>
      <c r="M39" s="6"/>
      <c r="N39" s="6"/>
      <c r="O39" s="6"/>
      <c r="P39" s="6"/>
      <c r="Q39" s="6">
        <v>0.12932620210164525</v>
      </c>
      <c r="R39" s="6">
        <v>4.7092356378330279E-2</v>
      </c>
      <c r="S39" s="4"/>
      <c r="U39" s="2"/>
      <c r="V39" s="2"/>
      <c r="W39" s="2">
        <f>L39-'Constant prices, 1913 borders'!L39</f>
        <v>0</v>
      </c>
      <c r="X39" s="2">
        <f>M39-'Constant prices, 1913 borders'!M39</f>
        <v>0</v>
      </c>
      <c r="Y39" s="2">
        <f>N39-'Constant prices, 1913 borders'!N39</f>
        <v>0</v>
      </c>
      <c r="Z39" s="2">
        <f>O39-'Constant prices, 1913 borders'!O39</f>
        <v>0</v>
      </c>
      <c r="AA39" s="2">
        <f>P39-'Constant prices, 1913 borders'!P39</f>
        <v>0</v>
      </c>
      <c r="AB39" s="2">
        <f>Q39-'Constant prices, 1913 borders'!Q39</f>
        <v>0.1273868081788507</v>
      </c>
      <c r="AC39" s="2">
        <f>R39-'Constant prices, 1913 borders'!R39</f>
        <v>0</v>
      </c>
      <c r="AD39" s="2">
        <f>S39-'Constant prices, 1913 borders'!S39</f>
        <v>0</v>
      </c>
      <c r="AF39">
        <f t="shared" si="0"/>
        <v>1</v>
      </c>
    </row>
    <row r="40" spans="1:32" x14ac:dyDescent="0.25">
      <c r="A40">
        <v>1833</v>
      </c>
      <c r="B40" s="6">
        <v>4.4800993630354213</v>
      </c>
      <c r="C40" s="6"/>
      <c r="D40" s="6"/>
      <c r="E40" s="6"/>
      <c r="F40" s="6"/>
      <c r="G40" s="6"/>
      <c r="H40" s="6"/>
      <c r="I40" s="6"/>
      <c r="J40" s="6"/>
      <c r="K40" s="6"/>
      <c r="L40" s="6">
        <v>3.9785796102292514</v>
      </c>
      <c r="M40" s="6"/>
      <c r="N40" s="6"/>
      <c r="O40" s="6"/>
      <c r="P40" s="6"/>
      <c r="Q40" s="6">
        <v>0.12598838914505137</v>
      </c>
      <c r="R40" s="6">
        <v>4.585503441910331E-2</v>
      </c>
      <c r="S40" s="4"/>
      <c r="U40" s="2"/>
      <c r="V40" s="2"/>
      <c r="W40" s="2">
        <f>L40-'Constant prices, 1913 borders'!L40</f>
        <v>0</v>
      </c>
      <c r="X40" s="2">
        <f>M40-'Constant prices, 1913 borders'!M40</f>
        <v>0</v>
      </c>
      <c r="Y40" s="2">
        <f>N40-'Constant prices, 1913 borders'!N40</f>
        <v>0</v>
      </c>
      <c r="Z40" s="2">
        <f>O40-'Constant prices, 1913 borders'!O40</f>
        <v>0</v>
      </c>
      <c r="AA40" s="2">
        <f>P40-'Constant prices, 1913 borders'!P40</f>
        <v>0</v>
      </c>
      <c r="AB40" s="2">
        <f>Q40-'Constant prices, 1913 borders'!Q40</f>
        <v>0.12409904953498113</v>
      </c>
      <c r="AC40" s="2">
        <f>R40-'Constant prices, 1913 borders'!R40</f>
        <v>0</v>
      </c>
      <c r="AD40" s="2">
        <f>S40-'Constant prices, 1913 borders'!S40</f>
        <v>0</v>
      </c>
      <c r="AF40">
        <f t="shared" si="0"/>
        <v>1</v>
      </c>
    </row>
    <row r="41" spans="1:32" x14ac:dyDescent="0.25">
      <c r="A41">
        <v>1834</v>
      </c>
      <c r="B41" s="6">
        <v>6.8694424839319739</v>
      </c>
      <c r="C41" s="6"/>
      <c r="D41" s="6"/>
      <c r="E41" s="6"/>
      <c r="F41" s="6"/>
      <c r="G41" s="6"/>
      <c r="H41" s="6"/>
      <c r="I41" s="6"/>
      <c r="J41" s="6"/>
      <c r="K41" s="6"/>
      <c r="L41" s="6">
        <v>6.9801894765186034</v>
      </c>
      <c r="M41" s="6"/>
      <c r="N41" s="6"/>
      <c r="O41" s="6"/>
      <c r="P41" s="6"/>
      <c r="Q41" s="6">
        <v>0.18915672541991979</v>
      </c>
      <c r="R41" s="6">
        <v>6.945504911303893E-2</v>
      </c>
      <c r="S41" s="4"/>
      <c r="U41" s="2"/>
      <c r="V41" s="2"/>
      <c r="W41" s="2">
        <f>L41-'Constant prices, 1913 borders'!L41</f>
        <v>0</v>
      </c>
      <c r="X41" s="2">
        <f>M41-'Constant prices, 1913 borders'!M41</f>
        <v>0</v>
      </c>
      <c r="Y41" s="2">
        <f>N41-'Constant prices, 1913 borders'!N41</f>
        <v>0</v>
      </c>
      <c r="Z41" s="2">
        <f>O41-'Constant prices, 1913 borders'!O41</f>
        <v>0</v>
      </c>
      <c r="AA41" s="2">
        <f>P41-'Constant prices, 1913 borders'!P41</f>
        <v>0</v>
      </c>
      <c r="AB41" s="2">
        <f>Q41-'Constant prices, 1913 borders'!Q41</f>
        <v>0.18632010455134451</v>
      </c>
      <c r="AC41" s="2">
        <f>R41-'Constant prices, 1913 borders'!R41</f>
        <v>0</v>
      </c>
      <c r="AD41" s="2">
        <f>S41-'Constant prices, 1913 borders'!S41</f>
        <v>0</v>
      </c>
      <c r="AF41">
        <f t="shared" si="0"/>
        <v>1</v>
      </c>
    </row>
    <row r="42" spans="1:32" x14ac:dyDescent="0.25">
      <c r="A42">
        <v>1835</v>
      </c>
      <c r="B42" s="6">
        <v>7.7501445689701161</v>
      </c>
      <c r="C42" s="6"/>
      <c r="D42" s="6"/>
      <c r="E42" s="6"/>
      <c r="F42" s="6"/>
      <c r="G42" s="6"/>
      <c r="H42" s="6"/>
      <c r="I42" s="6"/>
      <c r="J42" s="6"/>
      <c r="K42" s="6"/>
      <c r="L42" s="6">
        <v>7.7490331489648314</v>
      </c>
      <c r="M42" s="6"/>
      <c r="N42" s="6"/>
      <c r="O42" s="6"/>
      <c r="P42" s="6"/>
      <c r="Q42" s="6">
        <v>0.17271529389778348</v>
      </c>
      <c r="R42" s="6">
        <v>8.4788458520960147E-2</v>
      </c>
      <c r="S42" s="4"/>
      <c r="U42" s="2"/>
      <c r="V42" s="2"/>
      <c r="W42" s="2">
        <f>L42-'Constant prices, 1913 borders'!L42</f>
        <v>0</v>
      </c>
      <c r="X42" s="2">
        <f>M42-'Constant prices, 1913 borders'!M42</f>
        <v>0</v>
      </c>
      <c r="Y42" s="2">
        <f>N42-'Constant prices, 1913 borders'!N42</f>
        <v>0</v>
      </c>
      <c r="Z42" s="2">
        <f>O42-'Constant prices, 1913 borders'!O42</f>
        <v>0</v>
      </c>
      <c r="AA42" s="2">
        <f>P42-'Constant prices, 1913 borders'!P42</f>
        <v>0</v>
      </c>
      <c r="AB42" s="2">
        <f>Q42-'Constant prices, 1913 borders'!Q42</f>
        <v>0.17012523104960853</v>
      </c>
      <c r="AC42" s="2">
        <f>R42-'Constant prices, 1913 borders'!R42</f>
        <v>0</v>
      </c>
      <c r="AD42" s="2">
        <f>S42-'Constant prices, 1913 borders'!S42</f>
        <v>0</v>
      </c>
      <c r="AF42">
        <f t="shared" si="0"/>
        <v>1</v>
      </c>
    </row>
    <row r="43" spans="1:32" x14ac:dyDescent="0.25">
      <c r="A43">
        <v>1836</v>
      </c>
      <c r="B43" s="6">
        <v>7.6308144797787039</v>
      </c>
      <c r="C43" s="6"/>
      <c r="D43" s="6"/>
      <c r="E43" s="6"/>
      <c r="F43" s="6"/>
      <c r="G43" s="6"/>
      <c r="H43" s="6"/>
      <c r="I43" s="6"/>
      <c r="J43" s="6"/>
      <c r="K43" s="6"/>
      <c r="L43" s="6">
        <v>8.3558834202383121</v>
      </c>
      <c r="M43" s="6"/>
      <c r="N43" s="6"/>
      <c r="O43" s="6"/>
      <c r="P43" s="6"/>
      <c r="Q43" s="6">
        <v>0.14516760181442487</v>
      </c>
      <c r="R43" s="6">
        <v>0.10494628268278887</v>
      </c>
      <c r="S43" s="4"/>
      <c r="U43" s="2"/>
      <c r="V43" s="2"/>
      <c r="W43" s="2">
        <f>L43-'Constant prices, 1913 borders'!L43</f>
        <v>0</v>
      </c>
      <c r="X43" s="2">
        <f>M43-'Constant prices, 1913 borders'!M43</f>
        <v>0</v>
      </c>
      <c r="Y43" s="2">
        <f>N43-'Constant prices, 1913 borders'!N43</f>
        <v>0</v>
      </c>
      <c r="Z43" s="2">
        <f>O43-'Constant prices, 1913 borders'!O43</f>
        <v>0</v>
      </c>
      <c r="AA43" s="2">
        <f>P43-'Constant prices, 1913 borders'!P43</f>
        <v>0</v>
      </c>
      <c r="AB43" s="2">
        <f>Q43-'Constant prices, 1913 borders'!Q43</f>
        <v>0.14299064803266703</v>
      </c>
      <c r="AC43" s="2">
        <f>R43-'Constant prices, 1913 borders'!R43</f>
        <v>0</v>
      </c>
      <c r="AD43" s="2">
        <f>S43-'Constant prices, 1913 borders'!S43</f>
        <v>0</v>
      </c>
      <c r="AF43">
        <f t="shared" si="0"/>
        <v>1</v>
      </c>
    </row>
    <row r="44" spans="1:32" x14ac:dyDescent="0.25">
      <c r="A44">
        <v>1837</v>
      </c>
      <c r="B44" s="6">
        <v>6.2073302124625194</v>
      </c>
      <c r="C44" s="6"/>
      <c r="D44" s="6"/>
      <c r="E44" s="6"/>
      <c r="F44" s="6"/>
      <c r="G44" s="6"/>
      <c r="H44" s="6"/>
      <c r="I44" s="6"/>
      <c r="J44" s="6"/>
      <c r="K44" s="6"/>
      <c r="L44" s="6">
        <v>7.3796585422735674</v>
      </c>
      <c r="M44" s="6"/>
      <c r="N44" s="6"/>
      <c r="O44" s="6"/>
      <c r="P44" s="6"/>
      <c r="Q44" s="6">
        <v>0.14116956736936825</v>
      </c>
      <c r="R44" s="6">
        <v>0.11412527895063002</v>
      </c>
      <c r="S44" s="4"/>
      <c r="U44" s="2"/>
      <c r="V44" s="2"/>
      <c r="W44" s="2">
        <f>L44-'Constant prices, 1913 borders'!L44</f>
        <v>0</v>
      </c>
      <c r="X44" s="2">
        <f>M44-'Constant prices, 1913 borders'!M44</f>
        <v>0</v>
      </c>
      <c r="Y44" s="2">
        <f>N44-'Constant prices, 1913 borders'!N44</f>
        <v>0</v>
      </c>
      <c r="Z44" s="2">
        <f>O44-'Constant prices, 1913 borders'!O44</f>
        <v>0</v>
      </c>
      <c r="AA44" s="2">
        <f>P44-'Constant prices, 1913 borders'!P44</f>
        <v>0</v>
      </c>
      <c r="AB44" s="2">
        <f>Q44-'Constant prices, 1913 borders'!Q44</f>
        <v>0.13905256867466828</v>
      </c>
      <c r="AC44" s="2">
        <f>R44-'Constant prices, 1913 borders'!R44</f>
        <v>0</v>
      </c>
      <c r="AD44" s="2">
        <f>S44-'Constant prices, 1913 borders'!S44</f>
        <v>0</v>
      </c>
      <c r="AF44">
        <f t="shared" si="0"/>
        <v>1</v>
      </c>
    </row>
    <row r="45" spans="1:32" x14ac:dyDescent="0.25">
      <c r="A45">
        <v>1838</v>
      </c>
      <c r="B45" s="6">
        <v>8.0222688958249933</v>
      </c>
      <c r="C45" s="6"/>
      <c r="D45" s="6"/>
      <c r="E45" s="6"/>
      <c r="F45" s="6"/>
      <c r="G45" s="6"/>
      <c r="H45" s="6"/>
      <c r="I45" s="6"/>
      <c r="J45" s="6"/>
      <c r="K45" s="6"/>
      <c r="L45" s="6">
        <v>8.1772027357668211</v>
      </c>
      <c r="M45" s="6"/>
      <c r="N45" s="6"/>
      <c r="O45" s="6"/>
      <c r="P45" s="6"/>
      <c r="Q45" s="6">
        <v>0.13955403082944107</v>
      </c>
      <c r="R45" s="6">
        <v>0.12032352681740358</v>
      </c>
      <c r="S45" s="4"/>
      <c r="U45" s="2"/>
      <c r="V45" s="2"/>
      <c r="W45" s="2">
        <f>L45-'Constant prices, 1913 borders'!L45</f>
        <v>0</v>
      </c>
      <c r="X45" s="2">
        <f>M45-'Constant prices, 1913 borders'!M45</f>
        <v>0</v>
      </c>
      <c r="Y45" s="2">
        <f>N45-'Constant prices, 1913 borders'!N45</f>
        <v>0</v>
      </c>
      <c r="Z45" s="2">
        <f>O45-'Constant prices, 1913 borders'!O45</f>
        <v>0</v>
      </c>
      <c r="AA45" s="2">
        <f>P45-'Constant prices, 1913 borders'!P45</f>
        <v>0</v>
      </c>
      <c r="AB45" s="2">
        <f>Q45-'Constant prices, 1913 borders'!Q45</f>
        <v>0.13746125894799835</v>
      </c>
      <c r="AC45" s="2">
        <f>R45-'Constant prices, 1913 borders'!R45</f>
        <v>0</v>
      </c>
      <c r="AD45" s="2">
        <f>S45-'Constant prices, 1913 borders'!S45</f>
        <v>0</v>
      </c>
      <c r="AF45">
        <f t="shared" si="0"/>
        <v>1</v>
      </c>
    </row>
    <row r="46" spans="1:32" x14ac:dyDescent="0.25">
      <c r="A46">
        <v>1839</v>
      </c>
      <c r="B46" s="6">
        <v>9.3114343951250582</v>
      </c>
      <c r="C46" s="6"/>
      <c r="D46" s="6"/>
      <c r="E46" s="6"/>
      <c r="F46" s="6"/>
      <c r="G46" s="6"/>
      <c r="H46" s="6"/>
      <c r="I46" s="6"/>
      <c r="J46" s="6"/>
      <c r="K46" s="6"/>
      <c r="L46" s="6">
        <v>7.4554299363589038</v>
      </c>
      <c r="M46" s="6"/>
      <c r="N46" s="6"/>
      <c r="O46" s="6"/>
      <c r="P46" s="6"/>
      <c r="Q46" s="6">
        <v>0.10993232085292139</v>
      </c>
      <c r="R46" s="6">
        <v>0.10924227243958094</v>
      </c>
      <c r="S46" s="4"/>
      <c r="U46" s="2"/>
      <c r="V46" s="2"/>
      <c r="W46" s="2">
        <f>L46-'Constant prices, 1913 borders'!L46</f>
        <v>0</v>
      </c>
      <c r="X46" s="2">
        <f>M46-'Constant prices, 1913 borders'!M46</f>
        <v>0</v>
      </c>
      <c r="Y46" s="2">
        <f>N46-'Constant prices, 1913 borders'!N46</f>
        <v>0</v>
      </c>
      <c r="Z46" s="2">
        <f>O46-'Constant prices, 1913 borders'!O46</f>
        <v>0</v>
      </c>
      <c r="AA46" s="2">
        <f>P46-'Constant prices, 1913 borders'!P46</f>
        <v>0</v>
      </c>
      <c r="AB46" s="2">
        <f>Q46-'Constant prices, 1913 borders'!Q46</f>
        <v>0.10828376030203404</v>
      </c>
      <c r="AC46" s="2">
        <f>R46-'Constant prices, 1913 borders'!R46</f>
        <v>0</v>
      </c>
      <c r="AD46" s="2">
        <f>S46-'Constant prices, 1913 borders'!S46</f>
        <v>0</v>
      </c>
      <c r="AF46">
        <f t="shared" si="0"/>
        <v>1</v>
      </c>
    </row>
    <row r="47" spans="1:32" x14ac:dyDescent="0.25">
      <c r="A47">
        <v>1840</v>
      </c>
      <c r="B47" s="6">
        <v>13.002436451056804</v>
      </c>
      <c r="C47" s="6"/>
      <c r="D47" s="6"/>
      <c r="E47" s="6"/>
      <c r="F47" s="6"/>
      <c r="G47" s="6"/>
      <c r="H47" s="6"/>
      <c r="I47" s="6"/>
      <c r="J47" s="6"/>
      <c r="K47" s="6"/>
      <c r="L47" s="6">
        <v>10.701517804201426</v>
      </c>
      <c r="M47" s="6"/>
      <c r="N47" s="6"/>
      <c r="O47" s="6"/>
      <c r="P47" s="6"/>
      <c r="Q47" s="6">
        <v>8.9220732013399695E-2</v>
      </c>
      <c r="R47" s="6">
        <v>0.16885100349481216</v>
      </c>
      <c r="S47" s="4"/>
      <c r="U47" s="2"/>
      <c r="V47" s="2"/>
      <c r="W47" s="2">
        <f>L47-'Constant prices, 1913 borders'!L47</f>
        <v>0</v>
      </c>
      <c r="X47" s="2">
        <f>M47-'Constant prices, 1913 borders'!M47</f>
        <v>0</v>
      </c>
      <c r="Y47" s="2">
        <f>N47-'Constant prices, 1913 borders'!N47</f>
        <v>0</v>
      </c>
      <c r="Z47" s="2">
        <f>O47-'Constant prices, 1913 borders'!O47</f>
        <v>0</v>
      </c>
      <c r="AA47" s="2">
        <f>P47-'Constant prices, 1913 borders'!P47</f>
        <v>0</v>
      </c>
      <c r="AB47" s="2">
        <f>Q47-'Constant prices, 1913 borders'!Q47</f>
        <v>8.7882765362851417E-2</v>
      </c>
      <c r="AC47" s="2">
        <f>R47-'Constant prices, 1913 borders'!R47</f>
        <v>0</v>
      </c>
      <c r="AD47" s="2">
        <f>S47-'Constant prices, 1913 borders'!S47</f>
        <v>0</v>
      </c>
      <c r="AF47">
        <f t="shared" si="0"/>
        <v>1</v>
      </c>
    </row>
    <row r="48" spans="1:32" x14ac:dyDescent="0.25">
      <c r="A48">
        <v>1841</v>
      </c>
      <c r="B48" s="6">
        <v>11.242861128735013</v>
      </c>
      <c r="C48" s="6"/>
      <c r="D48" s="6"/>
      <c r="E48" s="6"/>
      <c r="F48" s="6"/>
      <c r="G48" s="6"/>
      <c r="H48" s="6"/>
      <c r="I48" s="6"/>
      <c r="J48" s="6"/>
      <c r="K48" s="6"/>
      <c r="L48" s="6">
        <v>8.6989822032866027</v>
      </c>
      <c r="M48" s="6"/>
      <c r="N48" s="6"/>
      <c r="O48" s="6"/>
      <c r="P48" s="6"/>
      <c r="Q48" s="6">
        <v>8.5418600004667181E-2</v>
      </c>
      <c r="R48" s="6">
        <v>0.15495768809694702</v>
      </c>
      <c r="S48" s="4"/>
      <c r="U48" s="2"/>
      <c r="V48" s="2"/>
      <c r="W48" s="2">
        <f>L48-'Constant prices, 1913 borders'!L48</f>
        <v>0</v>
      </c>
      <c r="X48" s="2">
        <f>M48-'Constant prices, 1913 borders'!M48</f>
        <v>0</v>
      </c>
      <c r="Y48" s="2">
        <f>N48-'Constant prices, 1913 borders'!N48</f>
        <v>0</v>
      </c>
      <c r="Z48" s="2">
        <f>O48-'Constant prices, 1913 borders'!O48</f>
        <v>0</v>
      </c>
      <c r="AA48" s="2">
        <f>P48-'Constant prices, 1913 borders'!P48</f>
        <v>0</v>
      </c>
      <c r="AB48" s="2">
        <f>Q48-'Constant prices, 1913 borders'!Q48</f>
        <v>8.413765066067834E-2</v>
      </c>
      <c r="AC48" s="2">
        <f>R48-'Constant prices, 1913 borders'!R48</f>
        <v>0</v>
      </c>
      <c r="AD48" s="2">
        <f>S48-'Constant prices, 1913 borders'!S48</f>
        <v>0</v>
      </c>
      <c r="AF48">
        <f t="shared" si="0"/>
        <v>1</v>
      </c>
    </row>
    <row r="49" spans="1:32" x14ac:dyDescent="0.25">
      <c r="A49">
        <v>1842</v>
      </c>
      <c r="B49" s="6">
        <v>6.7677510309860329</v>
      </c>
      <c r="C49" s="6"/>
      <c r="D49" s="6"/>
      <c r="E49" s="6"/>
      <c r="F49" s="6"/>
      <c r="G49" s="6"/>
      <c r="H49" s="6"/>
      <c r="I49" s="6"/>
      <c r="J49" s="6"/>
      <c r="K49" s="6"/>
      <c r="L49" s="6">
        <v>8.6501464217918969</v>
      </c>
      <c r="M49" s="6"/>
      <c r="N49" s="6"/>
      <c r="O49" s="6"/>
      <c r="P49" s="6"/>
      <c r="Q49" s="6">
        <v>8.3593379337155077E-2</v>
      </c>
      <c r="R49" s="6">
        <v>0.21138091651568863</v>
      </c>
      <c r="S49" s="4"/>
      <c r="U49" s="2"/>
      <c r="V49" s="2"/>
      <c r="W49" s="2">
        <f>L49-'Constant prices, 1913 borders'!L49</f>
        <v>0</v>
      </c>
      <c r="X49" s="2">
        <f>M49-'Constant prices, 1913 borders'!M49</f>
        <v>0</v>
      </c>
      <c r="Y49" s="2">
        <f>N49-'Constant prices, 1913 borders'!N49</f>
        <v>0</v>
      </c>
      <c r="Z49" s="2">
        <f>O49-'Constant prices, 1913 borders'!O49</f>
        <v>0</v>
      </c>
      <c r="AA49" s="2">
        <f>P49-'Constant prices, 1913 borders'!P49</f>
        <v>0</v>
      </c>
      <c r="AB49" s="2">
        <f>Q49-'Constant prices, 1913 borders'!Q49</f>
        <v>8.2339801259103132E-2</v>
      </c>
      <c r="AC49" s="2">
        <f>R49-'Constant prices, 1913 borders'!R49</f>
        <v>0</v>
      </c>
      <c r="AD49" s="2">
        <f>S49-'Constant prices, 1913 borders'!S49</f>
        <v>0</v>
      </c>
      <c r="AF49">
        <f t="shared" si="0"/>
        <v>1</v>
      </c>
    </row>
    <row r="50" spans="1:32" x14ac:dyDescent="0.25">
      <c r="A50">
        <v>1843</v>
      </c>
      <c r="B50" s="6">
        <v>8.5612119405228846</v>
      </c>
      <c r="C50" s="6"/>
      <c r="D50" s="6"/>
      <c r="E50" s="6"/>
      <c r="F50" s="6"/>
      <c r="G50" s="6"/>
      <c r="H50" s="6"/>
      <c r="I50" s="6"/>
      <c r="J50" s="6"/>
      <c r="K50" s="6"/>
      <c r="L50" s="6">
        <v>8.6094780902292651</v>
      </c>
      <c r="M50" s="6"/>
      <c r="N50" s="6"/>
      <c r="O50" s="6"/>
      <c r="P50" s="6"/>
      <c r="Q50" s="6">
        <v>8.0849505969314631E-2</v>
      </c>
      <c r="R50" s="6">
        <v>0.40855750913838096</v>
      </c>
      <c r="S50" s="4"/>
      <c r="U50" s="2"/>
      <c r="V50" s="2"/>
      <c r="W50" s="2">
        <f>L50-'Constant prices, 1913 borders'!L50</f>
        <v>0</v>
      </c>
      <c r="X50" s="2">
        <f>M50-'Constant prices, 1913 borders'!M50</f>
        <v>0</v>
      </c>
      <c r="Y50" s="2">
        <f>N50-'Constant prices, 1913 borders'!N50</f>
        <v>0</v>
      </c>
      <c r="Z50" s="2">
        <f>O50-'Constant prices, 1913 borders'!O50</f>
        <v>0</v>
      </c>
      <c r="AA50" s="2">
        <f>P50-'Constant prices, 1913 borders'!P50</f>
        <v>0</v>
      </c>
      <c r="AB50" s="2">
        <f>Q50-'Constant prices, 1913 borders'!Q50</f>
        <v>7.9637075402347296E-2</v>
      </c>
      <c r="AC50" s="2">
        <f>R50-'Constant prices, 1913 borders'!R50</f>
        <v>0</v>
      </c>
      <c r="AD50" s="2">
        <f>S50-'Constant prices, 1913 borders'!S50</f>
        <v>0</v>
      </c>
      <c r="AF50">
        <f t="shared" si="0"/>
        <v>1</v>
      </c>
    </row>
    <row r="51" spans="1:32" x14ac:dyDescent="0.25">
      <c r="A51">
        <v>1844</v>
      </c>
      <c r="B51" s="6">
        <v>5.3809976709956091</v>
      </c>
      <c r="C51" s="6"/>
      <c r="D51" s="6"/>
      <c r="E51" s="6"/>
      <c r="F51" s="6"/>
      <c r="G51" s="6"/>
      <c r="H51" s="6"/>
      <c r="I51" s="6"/>
      <c r="J51" s="6"/>
      <c r="K51" s="6"/>
      <c r="L51" s="6">
        <v>8.1732928735897818</v>
      </c>
      <c r="M51" s="6"/>
      <c r="N51" s="6"/>
      <c r="O51" s="6"/>
      <c r="P51" s="6"/>
      <c r="Q51" s="6">
        <v>5.5728557306842987E-2</v>
      </c>
      <c r="R51" s="6">
        <v>0.37739331614654192</v>
      </c>
      <c r="S51" s="4"/>
      <c r="U51" s="2"/>
      <c r="V51" s="2"/>
      <c r="W51" s="2">
        <f>L51-'Constant prices, 1913 borders'!L51</f>
        <v>0</v>
      </c>
      <c r="X51" s="2">
        <f>M51-'Constant prices, 1913 borders'!M51</f>
        <v>0</v>
      </c>
      <c r="Y51" s="2">
        <f>N51-'Constant prices, 1913 borders'!N51</f>
        <v>0</v>
      </c>
      <c r="Z51" s="2">
        <f>O51-'Constant prices, 1913 borders'!O51</f>
        <v>0</v>
      </c>
      <c r="AA51" s="2">
        <f>P51-'Constant prices, 1913 borders'!P51</f>
        <v>0</v>
      </c>
      <c r="AB51" s="2">
        <f>Q51-'Constant prices, 1913 borders'!Q51</f>
        <v>5.489284402051256E-2</v>
      </c>
      <c r="AC51" s="2">
        <f>R51-'Constant prices, 1913 borders'!R51</f>
        <v>0</v>
      </c>
      <c r="AD51" s="2">
        <f>S51-'Constant prices, 1913 borders'!S51</f>
        <v>0</v>
      </c>
      <c r="AF51">
        <f t="shared" si="0"/>
        <v>1</v>
      </c>
    </row>
    <row r="52" spans="1:32" x14ac:dyDescent="0.25">
      <c r="A52">
        <v>1845</v>
      </c>
      <c r="B52" s="6">
        <v>6.8614417737447626</v>
      </c>
      <c r="C52" s="6"/>
      <c r="D52" s="6"/>
      <c r="E52" s="6"/>
      <c r="F52" s="6"/>
      <c r="G52" s="6"/>
      <c r="H52" s="6"/>
      <c r="I52" s="6"/>
      <c r="J52" s="6"/>
      <c r="K52" s="6"/>
      <c r="L52" s="6">
        <v>11.33067584779149</v>
      </c>
      <c r="M52" s="6"/>
      <c r="N52" s="6"/>
      <c r="O52" s="6"/>
      <c r="P52" s="6"/>
      <c r="Q52" s="6">
        <v>5.1910546463075316E-2</v>
      </c>
      <c r="R52" s="6">
        <v>0.62078789151190561</v>
      </c>
      <c r="S52" s="4"/>
      <c r="U52" s="2"/>
      <c r="V52" s="2"/>
      <c r="W52" s="2">
        <f>L52-'Constant prices, 1913 borders'!L52</f>
        <v>0</v>
      </c>
      <c r="X52" s="2">
        <f>M52-'Constant prices, 1913 borders'!M52</f>
        <v>0</v>
      </c>
      <c r="Y52" s="2">
        <f>N52-'Constant prices, 1913 borders'!N52</f>
        <v>0</v>
      </c>
      <c r="Z52" s="2">
        <f>O52-'Constant prices, 1913 borders'!O52</f>
        <v>0</v>
      </c>
      <c r="AA52" s="2">
        <f>P52-'Constant prices, 1913 borders'!P52</f>
        <v>0</v>
      </c>
      <c r="AB52" s="2">
        <f>Q52-'Constant prices, 1913 borders'!Q52</f>
        <v>5.113208860454866E-2</v>
      </c>
      <c r="AC52" s="2">
        <f>R52-'Constant prices, 1913 borders'!R52</f>
        <v>0</v>
      </c>
      <c r="AD52" s="2">
        <f>S52-'Constant prices, 1913 borders'!S52</f>
        <v>0</v>
      </c>
      <c r="AF52">
        <f t="shared" si="0"/>
        <v>1</v>
      </c>
    </row>
    <row r="53" spans="1:32" x14ac:dyDescent="0.25">
      <c r="A53">
        <v>1846</v>
      </c>
      <c r="B53" s="6">
        <v>7.8652377419337194</v>
      </c>
      <c r="C53" s="6"/>
      <c r="D53" s="6"/>
      <c r="E53" s="6"/>
      <c r="F53" s="6"/>
      <c r="G53" s="6"/>
      <c r="H53" s="6"/>
      <c r="I53" s="6"/>
      <c r="J53" s="6"/>
      <c r="K53" s="6"/>
      <c r="L53" s="6">
        <v>9.8317812196075636</v>
      </c>
      <c r="M53" s="6"/>
      <c r="N53" s="6"/>
      <c r="O53" s="6"/>
      <c r="P53" s="6"/>
      <c r="Q53" s="6">
        <v>0.10109952542751009</v>
      </c>
      <c r="R53" s="6">
        <v>0.72223613149826682</v>
      </c>
      <c r="S53" s="4"/>
      <c r="U53" s="2"/>
      <c r="V53" s="2"/>
      <c r="W53" s="2">
        <f>L53-'Constant prices, 1913 borders'!L53</f>
        <v>0</v>
      </c>
      <c r="X53" s="2">
        <f>M53-'Constant prices, 1913 borders'!M53</f>
        <v>0</v>
      </c>
      <c r="Y53" s="2">
        <f>N53-'Constant prices, 1913 borders'!N53</f>
        <v>0</v>
      </c>
      <c r="Z53" s="2">
        <f>O53-'Constant prices, 1913 borders'!O53</f>
        <v>0</v>
      </c>
      <c r="AA53" s="2">
        <f>P53-'Constant prices, 1913 borders'!P53</f>
        <v>0</v>
      </c>
      <c r="AB53" s="2">
        <f>Q53-'Constant prices, 1913 borders'!Q53</f>
        <v>9.9583422719588449E-2</v>
      </c>
      <c r="AC53" s="2">
        <f>R53-'Constant prices, 1913 borders'!R53</f>
        <v>0</v>
      </c>
      <c r="AD53" s="2">
        <f>S53-'Constant prices, 1913 borders'!S53</f>
        <v>0</v>
      </c>
      <c r="AF53">
        <f t="shared" si="0"/>
        <v>1</v>
      </c>
    </row>
    <row r="54" spans="1:32" x14ac:dyDescent="0.25">
      <c r="A54">
        <v>1847</v>
      </c>
      <c r="B54" s="6">
        <v>8.7672790606809006</v>
      </c>
      <c r="C54" s="6"/>
      <c r="D54" s="6"/>
      <c r="E54" s="6"/>
      <c r="F54" s="6"/>
      <c r="G54" s="6"/>
      <c r="H54" s="6"/>
      <c r="I54" s="6"/>
      <c r="J54" s="6"/>
      <c r="K54" s="6"/>
      <c r="L54" s="6">
        <v>10.868010681285535</v>
      </c>
      <c r="M54" s="6"/>
      <c r="N54" s="6"/>
      <c r="O54" s="6"/>
      <c r="P54" s="6"/>
      <c r="Q54" s="6">
        <v>0.21586875073964787</v>
      </c>
      <c r="R54" s="6">
        <v>0.34356452551049571</v>
      </c>
      <c r="S54" s="4"/>
      <c r="U54" s="2"/>
      <c r="V54" s="2"/>
      <c r="W54" s="2">
        <f>L54-'Constant prices, 1913 borders'!L54</f>
        <v>0</v>
      </c>
      <c r="X54" s="2">
        <f>M54-'Constant prices, 1913 borders'!M54</f>
        <v>0</v>
      </c>
      <c r="Y54" s="2">
        <f>N54-'Constant prices, 1913 borders'!N54</f>
        <v>0</v>
      </c>
      <c r="Z54" s="2">
        <f>O54-'Constant prices, 1913 borders'!O54</f>
        <v>0</v>
      </c>
      <c r="AA54" s="2">
        <f>P54-'Constant prices, 1913 borders'!P54</f>
        <v>0</v>
      </c>
      <c r="AB54" s="2">
        <f>Q54-'Constant prices, 1913 borders'!Q54</f>
        <v>0.21263155258102046</v>
      </c>
      <c r="AC54" s="2">
        <f>R54-'Constant prices, 1913 borders'!R54</f>
        <v>0</v>
      </c>
      <c r="AD54" s="2">
        <f>S54-'Constant prices, 1913 borders'!S54</f>
        <v>0</v>
      </c>
      <c r="AF54">
        <f t="shared" si="0"/>
        <v>1</v>
      </c>
    </row>
    <row r="55" spans="1:32" x14ac:dyDescent="0.25">
      <c r="A55">
        <v>1848</v>
      </c>
      <c r="B55" s="6">
        <v>8.6969948216817805</v>
      </c>
      <c r="C55" s="6"/>
      <c r="D55" s="6"/>
      <c r="E55" s="6"/>
      <c r="F55" s="6"/>
      <c r="G55" s="6"/>
      <c r="H55" s="6"/>
      <c r="I55" s="6"/>
      <c r="J55" s="6"/>
      <c r="K55" s="6"/>
      <c r="L55" s="6">
        <v>11.073201245870532</v>
      </c>
      <c r="M55" s="6"/>
      <c r="N55" s="6"/>
      <c r="O55" s="6"/>
      <c r="P55" s="6"/>
      <c r="Q55" s="6">
        <v>0.32971560802959937</v>
      </c>
      <c r="R55" s="6">
        <v>0.30672251337708606</v>
      </c>
      <c r="S55" s="4"/>
      <c r="U55" s="2"/>
      <c r="V55" s="2"/>
      <c r="W55" s="2">
        <f>L55-'Constant prices, 1913 borders'!L55</f>
        <v>0</v>
      </c>
      <c r="X55" s="2">
        <f>M55-'Constant prices, 1913 borders'!M55</f>
        <v>0</v>
      </c>
      <c r="Y55" s="2">
        <f>N55-'Constant prices, 1913 borders'!N55</f>
        <v>0</v>
      </c>
      <c r="Z55" s="2">
        <f>O55-'Constant prices, 1913 borders'!O55</f>
        <v>0</v>
      </c>
      <c r="AA55" s="2">
        <f>P55-'Constant prices, 1913 borders'!P55</f>
        <v>0</v>
      </c>
      <c r="AB55" s="2">
        <f>Q55-'Constant prices, 1913 borders'!Q55</f>
        <v>0.32477114638090321</v>
      </c>
      <c r="AC55" s="2">
        <f>R55-'Constant prices, 1913 borders'!R55</f>
        <v>0</v>
      </c>
      <c r="AD55" s="2">
        <f>S55-'Constant prices, 1913 borders'!S55</f>
        <v>0</v>
      </c>
      <c r="AF55">
        <f t="shared" si="0"/>
        <v>1</v>
      </c>
    </row>
    <row r="56" spans="1:32" x14ac:dyDescent="0.25">
      <c r="A56">
        <v>1849</v>
      </c>
      <c r="B56" s="6">
        <v>11.531338485792141</v>
      </c>
      <c r="C56" s="6"/>
      <c r="D56" s="6"/>
      <c r="E56" s="6"/>
      <c r="F56" s="6"/>
      <c r="G56" s="6"/>
      <c r="H56" s="6"/>
      <c r="I56" s="6"/>
      <c r="J56" s="6"/>
      <c r="K56" s="6"/>
      <c r="L56" s="6">
        <v>12.776862390773854</v>
      </c>
      <c r="M56" s="6"/>
      <c r="N56" s="6"/>
      <c r="O56" s="6"/>
      <c r="P56" s="6"/>
      <c r="Q56" s="6">
        <v>0.10327713774275496</v>
      </c>
      <c r="R56" s="6">
        <v>0.92974818763101452</v>
      </c>
      <c r="S56" s="4"/>
      <c r="U56" s="2"/>
      <c r="V56" s="2"/>
      <c r="W56" s="2">
        <f>L56-'Constant prices, 1913 borders'!L56</f>
        <v>0</v>
      </c>
      <c r="X56" s="2">
        <f>M56-'Constant prices, 1913 borders'!M56</f>
        <v>0</v>
      </c>
      <c r="Y56" s="2">
        <f>N56-'Constant prices, 1913 borders'!N56</f>
        <v>0</v>
      </c>
      <c r="Z56" s="2">
        <f>O56-'Constant prices, 1913 borders'!O56</f>
        <v>0</v>
      </c>
      <c r="AA56" s="2">
        <f>P56-'Constant prices, 1913 borders'!P56</f>
        <v>0</v>
      </c>
      <c r="AB56" s="2">
        <f>Q56-'Constant prices, 1913 borders'!Q56</f>
        <v>0.10172837925416585</v>
      </c>
      <c r="AC56" s="2">
        <f>R56-'Constant prices, 1913 borders'!R56</f>
        <v>0</v>
      </c>
      <c r="AD56" s="2">
        <f>S56-'Constant prices, 1913 borders'!S56</f>
        <v>0</v>
      </c>
      <c r="AF56">
        <f t="shared" si="0"/>
        <v>1</v>
      </c>
    </row>
    <row r="57" spans="1:32" x14ac:dyDescent="0.25">
      <c r="A57">
        <v>1850</v>
      </c>
      <c r="B57" s="6">
        <v>14.905335668606694</v>
      </c>
      <c r="C57" s="6">
        <v>0.52575017570266036</v>
      </c>
      <c r="D57" s="6"/>
      <c r="E57" s="6">
        <v>0.50436046590528238</v>
      </c>
      <c r="F57" s="6">
        <v>0.28564234465984784</v>
      </c>
      <c r="G57" s="6">
        <v>0.76586224671170422</v>
      </c>
      <c r="H57" s="6">
        <v>1.4436335009971317</v>
      </c>
      <c r="I57" s="6"/>
      <c r="J57" s="6"/>
      <c r="K57" s="6"/>
      <c r="L57" s="6">
        <v>17.983105933732247</v>
      </c>
      <c r="M57" s="6">
        <v>0.31561833477350548</v>
      </c>
      <c r="N57" s="6"/>
      <c r="O57" s="6">
        <v>0.10314682280252176</v>
      </c>
      <c r="P57" s="6">
        <v>0.2035547408631648</v>
      </c>
      <c r="Q57" s="6">
        <v>0.27316015718552367</v>
      </c>
      <c r="R57" s="6">
        <v>0.8587972385040441</v>
      </c>
      <c r="S57" s="4"/>
      <c r="U57" s="2"/>
      <c r="V57" s="2"/>
      <c r="W57" s="2">
        <f>L57-'Constant prices, 1913 borders'!L57</f>
        <v>0</v>
      </c>
      <c r="X57" s="2">
        <f>M57-'Constant prices, 1913 borders'!M57</f>
        <v>0</v>
      </c>
      <c r="Y57" s="2">
        <f>N57-'Constant prices, 1913 borders'!N57</f>
        <v>0</v>
      </c>
      <c r="Z57" s="2">
        <f>O57-'Constant prices, 1913 borders'!O57</f>
        <v>0</v>
      </c>
      <c r="AA57" s="2">
        <f>P57-'Constant prices, 1913 borders'!P57</f>
        <v>0</v>
      </c>
      <c r="AB57" s="2">
        <f>Q57-'Constant prices, 1913 borders'!Q57</f>
        <v>0.26906380903498545</v>
      </c>
      <c r="AC57" s="2">
        <f>R57-'Constant prices, 1913 borders'!R57</f>
        <v>0</v>
      </c>
      <c r="AD57" s="2">
        <f>S57-'Constant prices, 1913 borders'!S57</f>
        <v>0</v>
      </c>
      <c r="AF57">
        <f t="shared" si="0"/>
        <v>1</v>
      </c>
    </row>
    <row r="58" spans="1:32" x14ac:dyDescent="0.25">
      <c r="A58">
        <v>1851</v>
      </c>
      <c r="B58" s="6">
        <v>15.073724311124803</v>
      </c>
      <c r="C58" s="6">
        <v>0.92203869488190149</v>
      </c>
      <c r="D58" s="6"/>
      <c r="E58" s="6">
        <v>0.89309916213896468</v>
      </c>
      <c r="F58" s="6">
        <v>2.1712885777084892</v>
      </c>
      <c r="G58" s="6">
        <v>1.312398111095965</v>
      </c>
      <c r="H58" s="6">
        <v>2.1236312440633038</v>
      </c>
      <c r="I58" s="6"/>
      <c r="J58" s="6"/>
      <c r="K58" s="6"/>
      <c r="L58" s="6">
        <v>16.587490720924595</v>
      </c>
      <c r="M58" s="6">
        <v>0.38383372920131736</v>
      </c>
      <c r="N58" s="6"/>
      <c r="O58" s="6">
        <v>0.16932923752784587</v>
      </c>
      <c r="P58" s="6">
        <v>0.36153353935683596</v>
      </c>
      <c r="Q58" s="6">
        <v>0.33701598018702789</v>
      </c>
      <c r="R58" s="6">
        <v>0.57490857743074586</v>
      </c>
      <c r="S58" s="4"/>
      <c r="U58" s="2"/>
      <c r="V58" s="2"/>
      <c r="W58" s="2">
        <f>L58-'Constant prices, 1913 borders'!L58</f>
        <v>0</v>
      </c>
      <c r="X58" s="2">
        <f>M58-'Constant prices, 1913 borders'!M58</f>
        <v>0</v>
      </c>
      <c r="Y58" s="2">
        <f>N58-'Constant prices, 1913 borders'!N58</f>
        <v>0</v>
      </c>
      <c r="Z58" s="2">
        <f>O58-'Constant prices, 1913 borders'!O58</f>
        <v>0</v>
      </c>
      <c r="AA58" s="2">
        <f>P58-'Constant prices, 1913 borders'!P58</f>
        <v>0</v>
      </c>
      <c r="AB58" s="2">
        <f>Q58-'Constant prices, 1913 borders'!Q58</f>
        <v>0.33196204113030325</v>
      </c>
      <c r="AC58" s="2">
        <f>R58-'Constant prices, 1913 borders'!R58</f>
        <v>0</v>
      </c>
      <c r="AD58" s="2">
        <f>S58-'Constant prices, 1913 borders'!S58</f>
        <v>0</v>
      </c>
      <c r="AF58">
        <f t="shared" si="0"/>
        <v>1</v>
      </c>
    </row>
    <row r="59" spans="1:32" x14ac:dyDescent="0.25">
      <c r="A59">
        <v>1852</v>
      </c>
      <c r="B59" s="6">
        <v>21.96151990161016</v>
      </c>
      <c r="C59" s="6">
        <v>0.34426856150087881</v>
      </c>
      <c r="D59" s="6"/>
      <c r="E59" s="6">
        <v>0.32854508853269004</v>
      </c>
      <c r="F59" s="6">
        <v>0.20231034231603032</v>
      </c>
      <c r="G59" s="6">
        <v>0.49776006539544643</v>
      </c>
      <c r="H59" s="6">
        <v>1.9708384075007503</v>
      </c>
      <c r="I59" s="6"/>
      <c r="J59" s="6"/>
      <c r="K59" s="6"/>
      <c r="L59" s="6">
        <v>62.451171359281069</v>
      </c>
      <c r="M59" s="6">
        <v>0.36139584306168432</v>
      </c>
      <c r="N59" s="6"/>
      <c r="O59" s="6">
        <v>0.13721211793354401</v>
      </c>
      <c r="P59" s="6">
        <v>0.43176815782847761</v>
      </c>
      <c r="Q59" s="6">
        <v>0.33317239960693745</v>
      </c>
      <c r="R59" s="6">
        <v>0.93841572516034522</v>
      </c>
      <c r="S59" s="4"/>
      <c r="U59" s="2"/>
      <c r="V59" s="2"/>
      <c r="W59" s="2">
        <f>L59-'Constant prices, 1913 borders'!L59</f>
        <v>0</v>
      </c>
      <c r="X59" s="2">
        <f>M59-'Constant prices, 1913 borders'!M59</f>
        <v>0</v>
      </c>
      <c r="Y59" s="2">
        <f>N59-'Constant prices, 1913 borders'!N59</f>
        <v>0</v>
      </c>
      <c r="Z59" s="2">
        <f>O59-'Constant prices, 1913 borders'!O59</f>
        <v>0</v>
      </c>
      <c r="AA59" s="2">
        <f>P59-'Constant prices, 1913 borders'!P59</f>
        <v>0</v>
      </c>
      <c r="AB59" s="2">
        <f>Q59-'Constant prices, 1913 borders'!Q59</f>
        <v>0.32817609942538012</v>
      </c>
      <c r="AC59" s="2">
        <f>R59-'Constant prices, 1913 borders'!R59</f>
        <v>0</v>
      </c>
      <c r="AD59" s="2">
        <f>S59-'Constant prices, 1913 borders'!S59</f>
        <v>0</v>
      </c>
      <c r="AF59">
        <f t="shared" si="0"/>
        <v>1</v>
      </c>
    </row>
    <row r="60" spans="1:32" x14ac:dyDescent="0.25">
      <c r="A60">
        <v>1853</v>
      </c>
      <c r="B60" s="6">
        <v>50.73514081910303</v>
      </c>
      <c r="C60" s="6">
        <v>0.48002849607746106</v>
      </c>
      <c r="D60" s="6"/>
      <c r="E60" s="6">
        <v>0.43789592422568718</v>
      </c>
      <c r="F60" s="6">
        <v>0.4453329015053813</v>
      </c>
      <c r="G60" s="6">
        <v>0.71047320108804002</v>
      </c>
      <c r="H60" s="6">
        <v>2.4626267905917985</v>
      </c>
      <c r="I60" s="6"/>
      <c r="J60" s="6"/>
      <c r="K60" s="6"/>
      <c r="L60" s="6">
        <v>67.3945781644844</v>
      </c>
      <c r="M60" s="6">
        <v>0.23090032419473736</v>
      </c>
      <c r="N60" s="6"/>
      <c r="O60" s="6">
        <v>8.4964832837801804E-2</v>
      </c>
      <c r="P60" s="6">
        <v>0.15384027225917388</v>
      </c>
      <c r="Q60" s="6">
        <v>0.21417205666430938</v>
      </c>
      <c r="R60" s="6">
        <v>1.5874368076970522</v>
      </c>
      <c r="S60" s="4"/>
      <c r="U60" s="2"/>
      <c r="V60" s="2"/>
      <c r="W60" s="2">
        <f>L60-'Constant prices, 1913 borders'!L60</f>
        <v>0</v>
      </c>
      <c r="X60" s="2">
        <f>M60-'Constant prices, 1913 borders'!M60</f>
        <v>0</v>
      </c>
      <c r="Y60" s="2">
        <f>N60-'Constant prices, 1913 borders'!N60</f>
        <v>0</v>
      </c>
      <c r="Z60" s="2">
        <f>O60-'Constant prices, 1913 borders'!O60</f>
        <v>0</v>
      </c>
      <c r="AA60" s="2">
        <f>P60-'Constant prices, 1913 borders'!P60</f>
        <v>0</v>
      </c>
      <c r="AB60" s="2">
        <f>Q60-'Constant prices, 1913 borders'!Q60</f>
        <v>0.21096030236875904</v>
      </c>
      <c r="AC60" s="2">
        <f>R60-'Constant prices, 1913 borders'!R60</f>
        <v>0</v>
      </c>
      <c r="AD60" s="2">
        <f>S60-'Constant prices, 1913 borders'!S60</f>
        <v>0</v>
      </c>
      <c r="AF60">
        <f t="shared" si="0"/>
        <v>1</v>
      </c>
    </row>
    <row r="61" spans="1:32" x14ac:dyDescent="0.25">
      <c r="A61">
        <v>1854</v>
      </c>
      <c r="B61" s="6">
        <v>70.210718104078367</v>
      </c>
      <c r="C61" s="6">
        <v>0.57233728198682499</v>
      </c>
      <c r="D61" s="6"/>
      <c r="E61" s="6">
        <v>0.46107064418091981</v>
      </c>
      <c r="F61" s="6">
        <v>0.76257066058206024</v>
      </c>
      <c r="G61" s="6">
        <v>0.78265450185538754</v>
      </c>
      <c r="H61" s="6">
        <v>3.3380092637901777</v>
      </c>
      <c r="I61" s="6"/>
      <c r="J61" s="6"/>
      <c r="K61" s="6"/>
      <c r="L61" s="6">
        <v>60.757567596396889</v>
      </c>
      <c r="M61" s="6">
        <v>0.25682922626106036</v>
      </c>
      <c r="N61" s="6"/>
      <c r="O61" s="6">
        <v>9.9523246397861559E-2</v>
      </c>
      <c r="P61" s="6">
        <v>0.20933074730990742</v>
      </c>
      <c r="Q61" s="6">
        <v>0.30690136460656947</v>
      </c>
      <c r="R61" s="6">
        <v>2.5214290837049091</v>
      </c>
      <c r="S61" s="4"/>
      <c r="U61" s="2"/>
      <c r="V61" s="2"/>
      <c r="W61" s="2">
        <f>L61-'Constant prices, 1913 borders'!L61</f>
        <v>0</v>
      </c>
      <c r="X61" s="2">
        <f>M61-'Constant prices, 1913 borders'!M61</f>
        <v>0</v>
      </c>
      <c r="Y61" s="2">
        <f>N61-'Constant prices, 1913 borders'!N61</f>
        <v>0</v>
      </c>
      <c r="Z61" s="2">
        <f>O61-'Constant prices, 1913 borders'!O61</f>
        <v>0</v>
      </c>
      <c r="AA61" s="2">
        <f>P61-'Constant prices, 1913 borders'!P61</f>
        <v>0</v>
      </c>
      <c r="AB61" s="2">
        <f>Q61-'Constant prices, 1913 borders'!Q61</f>
        <v>0.30229902856218821</v>
      </c>
      <c r="AC61" s="2">
        <f>R61-'Constant prices, 1913 borders'!R61</f>
        <v>0</v>
      </c>
      <c r="AD61" s="2">
        <f>S61-'Constant prices, 1913 borders'!S61</f>
        <v>0</v>
      </c>
      <c r="AF61">
        <f t="shared" si="0"/>
        <v>1</v>
      </c>
    </row>
    <row r="62" spans="1:32" x14ac:dyDescent="0.25">
      <c r="A62">
        <v>1855</v>
      </c>
      <c r="B62" s="6">
        <v>49.205166945200602</v>
      </c>
      <c r="C62" s="6">
        <v>0.5566965422941007</v>
      </c>
      <c r="D62" s="6"/>
      <c r="E62" s="6">
        <v>0.40536102915712235</v>
      </c>
      <c r="F62" s="6">
        <v>0.75004319784110829</v>
      </c>
      <c r="G62" s="6">
        <v>0.70672598582409718</v>
      </c>
      <c r="H62" s="6">
        <v>3.2845328561108982</v>
      </c>
      <c r="I62" s="6"/>
      <c r="J62" s="6"/>
      <c r="K62" s="6"/>
      <c r="L62" s="6">
        <v>71.654666142540933</v>
      </c>
      <c r="M62" s="6">
        <v>0.18595031086790931</v>
      </c>
      <c r="N62" s="6"/>
      <c r="O62" s="6">
        <v>0.1067970116433017</v>
      </c>
      <c r="P62" s="6">
        <v>0.16129824317172423</v>
      </c>
      <c r="Q62" s="6">
        <v>0.21724447784270123</v>
      </c>
      <c r="R62" s="6">
        <v>2.1495759636466421</v>
      </c>
      <c r="S62" s="4"/>
      <c r="U62" s="2"/>
      <c r="V62" s="2"/>
      <c r="W62" s="2">
        <f>L62-'Constant prices, 1913 borders'!L62</f>
        <v>0</v>
      </c>
      <c r="X62" s="2">
        <f>M62-'Constant prices, 1913 borders'!M62</f>
        <v>0</v>
      </c>
      <c r="Y62" s="2">
        <f>N62-'Constant prices, 1913 borders'!N62</f>
        <v>0</v>
      </c>
      <c r="Z62" s="2">
        <f>O62-'Constant prices, 1913 borders'!O62</f>
        <v>0</v>
      </c>
      <c r="AA62" s="2">
        <f>P62-'Constant prices, 1913 borders'!P62</f>
        <v>0</v>
      </c>
      <c r="AB62" s="2">
        <f>Q62-'Constant prices, 1913 borders'!Q62</f>
        <v>0.21398664908687287</v>
      </c>
      <c r="AC62" s="2">
        <f>R62-'Constant prices, 1913 borders'!R62</f>
        <v>0</v>
      </c>
      <c r="AD62" s="2">
        <f>S62-'Constant prices, 1913 borders'!S62</f>
        <v>0</v>
      </c>
      <c r="AF62">
        <f t="shared" si="0"/>
        <v>1</v>
      </c>
    </row>
    <row r="63" spans="1:32" x14ac:dyDescent="0.25">
      <c r="A63">
        <v>1856</v>
      </c>
      <c r="B63" s="6">
        <v>59.294789810912121</v>
      </c>
      <c r="C63" s="6">
        <v>0.49149883254418353</v>
      </c>
      <c r="D63" s="6"/>
      <c r="E63" s="6">
        <v>0.3581174329137054</v>
      </c>
      <c r="F63" s="6">
        <v>0.55798657447905009</v>
      </c>
      <c r="G63" s="6">
        <v>0.62529653281182607</v>
      </c>
      <c r="H63" s="6">
        <v>3.0301442400655514</v>
      </c>
      <c r="I63" s="6"/>
      <c r="J63" s="6"/>
      <c r="K63" s="6"/>
      <c r="L63" s="6">
        <v>70.313954290787848</v>
      </c>
      <c r="M63" s="6">
        <v>0.17723022396658186</v>
      </c>
      <c r="N63" s="6"/>
      <c r="O63" s="6">
        <v>8.8891331455946035E-2</v>
      </c>
      <c r="P63" s="6">
        <v>0.10845969611197766</v>
      </c>
      <c r="Q63" s="6">
        <v>0.16497300612316193</v>
      </c>
      <c r="R63" s="6">
        <v>1.5251331655546108</v>
      </c>
      <c r="S63" s="4"/>
      <c r="U63" s="2"/>
      <c r="V63" s="2"/>
      <c r="W63" s="2">
        <f>L63-'Constant prices, 1913 borders'!L63</f>
        <v>0</v>
      </c>
      <c r="X63" s="2">
        <f>M63-'Constant prices, 1913 borders'!M63</f>
        <v>0</v>
      </c>
      <c r="Y63" s="2">
        <f>N63-'Constant prices, 1913 borders'!N63</f>
        <v>0</v>
      </c>
      <c r="Z63" s="2">
        <f>O63-'Constant prices, 1913 borders'!O63</f>
        <v>0</v>
      </c>
      <c r="AA63" s="2">
        <f>P63-'Constant prices, 1913 borders'!P63</f>
        <v>0</v>
      </c>
      <c r="AB63" s="2">
        <f>Q63-'Constant prices, 1913 borders'!Q63</f>
        <v>0.16249904771178802</v>
      </c>
      <c r="AC63" s="2">
        <f>R63-'Constant prices, 1913 borders'!R63</f>
        <v>0</v>
      </c>
      <c r="AD63" s="2">
        <f>S63-'Constant prices, 1913 borders'!S63</f>
        <v>0</v>
      </c>
      <c r="AF63">
        <f t="shared" si="0"/>
        <v>1</v>
      </c>
    </row>
    <row r="64" spans="1:32" x14ac:dyDescent="0.25">
      <c r="A64">
        <v>1857</v>
      </c>
      <c r="B64" s="6">
        <v>70.899808388363056</v>
      </c>
      <c r="C64" s="6">
        <v>0.49042894990460867</v>
      </c>
      <c r="D64" s="6"/>
      <c r="E64" s="6">
        <v>0.39900988646066871</v>
      </c>
      <c r="F64" s="6">
        <v>0.5454886625117229</v>
      </c>
      <c r="G64" s="6">
        <v>0.6795772865488614</v>
      </c>
      <c r="H64" s="6">
        <v>4.1104142597007627</v>
      </c>
      <c r="I64" s="6"/>
      <c r="J64" s="6"/>
      <c r="K64" s="6"/>
      <c r="L64" s="6">
        <v>62.624412668233582</v>
      </c>
      <c r="M64" s="6">
        <v>0.19798675193975104</v>
      </c>
      <c r="N64" s="6"/>
      <c r="O64" s="6">
        <v>0.10261782174125346</v>
      </c>
      <c r="P64" s="6">
        <v>0.13248363222646789</v>
      </c>
      <c r="Q64" s="6">
        <v>0.16883271525962448</v>
      </c>
      <c r="R64" s="6">
        <v>2.4626696706471498</v>
      </c>
      <c r="S64" s="4"/>
      <c r="U64" s="2"/>
      <c r="V64" s="2"/>
      <c r="W64" s="2">
        <f>L64-'Constant prices, 1913 borders'!L64</f>
        <v>0</v>
      </c>
      <c r="X64" s="2">
        <f>M64-'Constant prices, 1913 borders'!M64</f>
        <v>0</v>
      </c>
      <c r="Y64" s="2">
        <f>N64-'Constant prices, 1913 borders'!N64</f>
        <v>0</v>
      </c>
      <c r="Z64" s="2">
        <f>O64-'Constant prices, 1913 borders'!O64</f>
        <v>0</v>
      </c>
      <c r="AA64" s="2">
        <f>P64-'Constant prices, 1913 borders'!P64</f>
        <v>0</v>
      </c>
      <c r="AB64" s="2">
        <f>Q64-'Constant prices, 1913 borders'!Q64</f>
        <v>0.16630087610698263</v>
      </c>
      <c r="AC64" s="2">
        <f>R64-'Constant prices, 1913 borders'!R64</f>
        <v>0</v>
      </c>
      <c r="AD64" s="2">
        <f>S64-'Constant prices, 1913 borders'!S64</f>
        <v>0</v>
      </c>
      <c r="AF64">
        <f t="shared" si="0"/>
        <v>1</v>
      </c>
    </row>
    <row r="65" spans="1:32" x14ac:dyDescent="0.25">
      <c r="A65">
        <v>1858</v>
      </c>
      <c r="B65" s="6">
        <v>76.337736310217011</v>
      </c>
      <c r="C65" s="6">
        <v>0.51541768138568234</v>
      </c>
      <c r="D65" s="6"/>
      <c r="E65" s="6">
        <v>0.44488857059398923</v>
      </c>
      <c r="F65" s="6">
        <v>0.37526679003002889</v>
      </c>
      <c r="G65" s="6">
        <v>0.72690953618526999</v>
      </c>
      <c r="H65" s="6">
        <v>4.9025439151561558</v>
      </c>
      <c r="I65" s="6"/>
      <c r="J65" s="6"/>
      <c r="K65" s="6"/>
      <c r="L65" s="6">
        <v>70.744438699793662</v>
      </c>
      <c r="M65" s="6">
        <v>0.2846032082257362</v>
      </c>
      <c r="N65" s="6"/>
      <c r="O65" s="6">
        <v>0.14545296557456411</v>
      </c>
      <c r="P65" s="6">
        <v>0.17102084833055323</v>
      </c>
      <c r="Q65" s="6">
        <v>0.25807514882293764</v>
      </c>
      <c r="R65" s="6">
        <v>3.1008476752838523</v>
      </c>
      <c r="S65" s="4"/>
      <c r="U65" s="2"/>
      <c r="V65" s="2"/>
      <c r="W65" s="2">
        <f>L65-'Constant prices, 1913 borders'!L65</f>
        <v>0</v>
      </c>
      <c r="X65" s="2">
        <f>M65-'Constant prices, 1913 borders'!M65</f>
        <v>0</v>
      </c>
      <c r="Y65" s="2">
        <f>N65-'Constant prices, 1913 borders'!N65</f>
        <v>0</v>
      </c>
      <c r="Z65" s="2">
        <f>O65-'Constant prices, 1913 borders'!O65</f>
        <v>0</v>
      </c>
      <c r="AA65" s="2">
        <f>P65-'Constant prices, 1913 borders'!P65</f>
        <v>0</v>
      </c>
      <c r="AB65" s="2">
        <f>Q65-'Constant prices, 1913 borders'!Q65</f>
        <v>0.2542050175802516</v>
      </c>
      <c r="AC65" s="2">
        <f>R65-'Constant prices, 1913 borders'!R65</f>
        <v>0</v>
      </c>
      <c r="AD65" s="2">
        <f>S65-'Constant prices, 1913 borders'!S65</f>
        <v>0</v>
      </c>
      <c r="AF65">
        <f t="shared" si="0"/>
        <v>1</v>
      </c>
    </row>
    <row r="66" spans="1:32" x14ac:dyDescent="0.25">
      <c r="A66">
        <v>1859</v>
      </c>
      <c r="B66" s="6">
        <v>78.446550663928775</v>
      </c>
      <c r="C66" s="6">
        <v>0.64366415304807567</v>
      </c>
      <c r="D66" s="6"/>
      <c r="E66" s="6">
        <v>0.59278204255604228</v>
      </c>
      <c r="F66" s="6">
        <v>0.90143920892314089</v>
      </c>
      <c r="G66" s="6">
        <v>0.97562946106143811</v>
      </c>
      <c r="H66" s="6">
        <v>6.3832380145961141</v>
      </c>
      <c r="I66" s="6"/>
      <c r="J66" s="6"/>
      <c r="K66" s="6"/>
      <c r="L66" s="6">
        <v>73.821356916306257</v>
      </c>
      <c r="M66" s="6">
        <v>0.38166578137245677</v>
      </c>
      <c r="N66" s="6"/>
      <c r="O66" s="6">
        <v>0.15334184132339521</v>
      </c>
      <c r="P66" s="6">
        <v>0.32737271157023234</v>
      </c>
      <c r="Q66" s="6">
        <v>0.34002243331756093</v>
      </c>
      <c r="R66" s="6">
        <v>3.6513645844704978</v>
      </c>
      <c r="S66" s="4"/>
      <c r="U66" s="2"/>
      <c r="V66" s="2"/>
      <c r="W66" s="2">
        <f>L66-'Constant prices, 1913 borders'!L66</f>
        <v>0</v>
      </c>
      <c r="X66" s="2">
        <f>M66-'Constant prices, 1913 borders'!M66</f>
        <v>0</v>
      </c>
      <c r="Y66" s="2">
        <f>N66-'Constant prices, 1913 borders'!N66</f>
        <v>0</v>
      </c>
      <c r="Z66" s="2">
        <f>O66-'Constant prices, 1913 borders'!O66</f>
        <v>0</v>
      </c>
      <c r="AA66" s="2">
        <f>P66-'Constant prices, 1913 borders'!P66</f>
        <v>0</v>
      </c>
      <c r="AB66" s="2">
        <f>Q66-'Constant prices, 1913 borders'!Q66</f>
        <v>0.33492340906668561</v>
      </c>
      <c r="AC66" s="2">
        <f>R66-'Constant prices, 1913 borders'!R66</f>
        <v>0</v>
      </c>
      <c r="AD66" s="2">
        <f>S66-'Constant prices, 1913 borders'!S66</f>
        <v>0</v>
      </c>
      <c r="AF66">
        <f t="shared" si="0"/>
        <v>1</v>
      </c>
    </row>
    <row r="67" spans="1:32" x14ac:dyDescent="0.25">
      <c r="A67">
        <v>1860</v>
      </c>
      <c r="B67" s="6">
        <v>72.900025971609196</v>
      </c>
      <c r="C67" s="6">
        <v>0.48609998206677069</v>
      </c>
      <c r="D67" s="6"/>
      <c r="E67" s="6">
        <v>0.43499258031944044</v>
      </c>
      <c r="F67" s="6">
        <v>0.8891813950126779</v>
      </c>
      <c r="G67" s="6">
        <v>0.74192843418011456</v>
      </c>
      <c r="H67" s="6">
        <v>6.3360342407513981</v>
      </c>
      <c r="I67" s="6"/>
      <c r="J67" s="6"/>
      <c r="K67" s="6"/>
      <c r="L67" s="6">
        <v>65.317096416933211</v>
      </c>
      <c r="M67" s="6">
        <v>0.27293281364897742</v>
      </c>
      <c r="N67" s="6"/>
      <c r="O67" s="6">
        <v>0.12170759251377349</v>
      </c>
      <c r="P67" s="6">
        <v>0.23146667489288938</v>
      </c>
      <c r="Q67" s="6">
        <v>0.3083159848539635</v>
      </c>
      <c r="R67" s="6">
        <v>1.5391521640793109</v>
      </c>
      <c r="S67" s="4"/>
      <c r="U67" s="2"/>
      <c r="V67" s="2"/>
      <c r="W67" s="2">
        <f>L67-'Constant prices, 1913 borders'!L67</f>
        <v>0</v>
      </c>
      <c r="X67" s="2">
        <f>M67-'Constant prices, 1913 borders'!M67</f>
        <v>0</v>
      </c>
      <c r="Y67" s="2">
        <f>N67-'Constant prices, 1913 borders'!N67</f>
        <v>0</v>
      </c>
      <c r="Z67" s="2">
        <f>O67-'Constant prices, 1913 borders'!O67</f>
        <v>0</v>
      </c>
      <c r="AA67" s="2">
        <f>P67-'Constant prices, 1913 borders'!P67</f>
        <v>0</v>
      </c>
      <c r="AB67" s="2">
        <f>Q67-'Constant prices, 1913 borders'!Q67</f>
        <v>0.30369243496531656</v>
      </c>
      <c r="AC67" s="2">
        <f>R67-'Constant prices, 1913 borders'!R67</f>
        <v>0</v>
      </c>
      <c r="AD67" s="2">
        <f>S67-'Constant prices, 1913 borders'!S67</f>
        <v>0</v>
      </c>
      <c r="AF67">
        <f t="shared" si="0"/>
        <v>1</v>
      </c>
    </row>
    <row r="68" spans="1:32" x14ac:dyDescent="0.25">
      <c r="A68">
        <v>1861</v>
      </c>
      <c r="B68" s="6">
        <v>66.97222505228865</v>
      </c>
      <c r="C68" s="6">
        <v>0.32952223480333992</v>
      </c>
      <c r="D68" s="6"/>
      <c r="E68" s="6">
        <v>0.26352480388220956</v>
      </c>
      <c r="F68" s="6">
        <v>0.27818320206491154</v>
      </c>
      <c r="G68" s="6">
        <v>0.4577744358102302</v>
      </c>
      <c r="H68" s="6">
        <v>10.918388629139875</v>
      </c>
      <c r="I68" s="6"/>
      <c r="J68" s="6"/>
      <c r="K68" s="6"/>
      <c r="L68" s="6">
        <v>72.388752763941497</v>
      </c>
      <c r="M68" s="6">
        <v>0.26644201774074955</v>
      </c>
      <c r="N68" s="6"/>
      <c r="O68" s="6">
        <v>0.11580228281404452</v>
      </c>
      <c r="P68" s="6">
        <v>0.14406135304355397</v>
      </c>
      <c r="Q68" s="6">
        <v>0.31943147292043328</v>
      </c>
      <c r="R68" s="6">
        <v>6.0143897007931812</v>
      </c>
      <c r="S68" s="4"/>
      <c r="U68" s="2"/>
      <c r="V68" s="2"/>
      <c r="W68" s="2">
        <f>L68-'Constant prices, 1913 borders'!L68</f>
        <v>0</v>
      </c>
      <c r="X68" s="2">
        <f>M68-'Constant prices, 1913 borders'!M68</f>
        <v>0</v>
      </c>
      <c r="Y68" s="2">
        <f>N68-'Constant prices, 1913 borders'!N68</f>
        <v>0</v>
      </c>
      <c r="Z68" s="2">
        <f>O68-'Constant prices, 1913 borders'!O68</f>
        <v>0</v>
      </c>
      <c r="AA68" s="2">
        <f>P68-'Constant prices, 1913 borders'!P68</f>
        <v>0</v>
      </c>
      <c r="AB68" s="2">
        <f>Q68-'Constant prices, 1913 borders'!Q68</f>
        <v>0.31464123360880258</v>
      </c>
      <c r="AC68" s="2">
        <f>R68-'Constant prices, 1913 borders'!R68</f>
        <v>0</v>
      </c>
      <c r="AD68" s="2">
        <f>S68-'Constant prices, 1913 borders'!S68</f>
        <v>0</v>
      </c>
      <c r="AF68">
        <f t="shared" si="0"/>
        <v>1</v>
      </c>
    </row>
    <row r="69" spans="1:32" x14ac:dyDescent="0.25">
      <c r="A69">
        <v>1862</v>
      </c>
      <c r="B69" s="6">
        <v>80.267887875035882</v>
      </c>
      <c r="C69" s="6">
        <v>0.45724147369638973</v>
      </c>
      <c r="D69" s="6"/>
      <c r="E69" s="6">
        <v>0.35444622296746381</v>
      </c>
      <c r="F69" s="6">
        <v>0.42532175140240952</v>
      </c>
      <c r="G69" s="6">
        <v>0.60030869718579993</v>
      </c>
      <c r="H69" s="6">
        <v>20.604480514303894</v>
      </c>
      <c r="I69" s="6"/>
      <c r="J69" s="6"/>
      <c r="K69" s="6"/>
      <c r="L69" s="6">
        <v>75.351780390320954</v>
      </c>
      <c r="M69" s="6">
        <v>0.34894976534219702</v>
      </c>
      <c r="N69" s="6"/>
      <c r="O69" s="6">
        <v>0.14375410262995691</v>
      </c>
      <c r="P69" s="6">
        <v>0.20458744827966241</v>
      </c>
      <c r="Q69" s="6">
        <v>0.47931586138694421</v>
      </c>
      <c r="R69" s="6">
        <v>12.446067019353841</v>
      </c>
      <c r="S69" s="4"/>
      <c r="U69" s="2"/>
      <c r="V69" s="2"/>
      <c r="W69" s="2">
        <f>L69-'Constant prices, 1913 borders'!L69</f>
        <v>0</v>
      </c>
      <c r="X69" s="2">
        <f>M69-'Constant prices, 1913 borders'!M69</f>
        <v>0</v>
      </c>
      <c r="Y69" s="2">
        <f>N69-'Constant prices, 1913 borders'!N69</f>
        <v>0</v>
      </c>
      <c r="Z69" s="2">
        <f>O69-'Constant prices, 1913 borders'!O69</f>
        <v>0</v>
      </c>
      <c r="AA69" s="2">
        <f>P69-'Constant prices, 1913 borders'!P69</f>
        <v>0</v>
      </c>
      <c r="AB69" s="2">
        <f>Q69-'Constant prices, 1913 borders'!Q69</f>
        <v>0.47212797329028255</v>
      </c>
      <c r="AC69" s="2">
        <f>R69-'Constant prices, 1913 borders'!R69</f>
        <v>0</v>
      </c>
      <c r="AD69" s="2">
        <f>S69-'Constant prices, 1913 borders'!S69</f>
        <v>0</v>
      </c>
      <c r="AF69">
        <f t="shared" si="0"/>
        <v>1</v>
      </c>
    </row>
    <row r="70" spans="1:32" x14ac:dyDescent="0.25">
      <c r="A70">
        <v>1863</v>
      </c>
      <c r="B70" s="6">
        <v>90.341540714669662</v>
      </c>
      <c r="C70" s="6">
        <v>0.54835465918360282</v>
      </c>
      <c r="D70" s="6"/>
      <c r="E70" s="6">
        <v>0.41828905118981441</v>
      </c>
      <c r="F70" s="6">
        <v>0.39808364258355866</v>
      </c>
      <c r="G70" s="6">
        <v>0.68576303481506518</v>
      </c>
      <c r="H70" s="6">
        <v>30.713618141722534</v>
      </c>
      <c r="I70" s="6"/>
      <c r="J70" s="6"/>
      <c r="K70" s="6"/>
      <c r="L70" s="6">
        <v>78.62188506091411</v>
      </c>
      <c r="M70" s="6">
        <v>0.46425158193661181</v>
      </c>
      <c r="N70" s="6"/>
      <c r="O70" s="6">
        <v>0.15246924933643033</v>
      </c>
      <c r="P70" s="6">
        <v>0.21306305955504076</v>
      </c>
      <c r="Q70" s="6">
        <v>0.56932517572102292</v>
      </c>
      <c r="R70" s="6">
        <v>29.824029052334247</v>
      </c>
      <c r="S70" s="4"/>
      <c r="U70" s="2"/>
      <c r="V70" s="2"/>
      <c r="W70" s="2">
        <f>L70-'Constant prices, 1913 borders'!L70</f>
        <v>0</v>
      </c>
      <c r="X70" s="2">
        <f>M70-'Constant prices, 1913 borders'!M70</f>
        <v>0</v>
      </c>
      <c r="Y70" s="2">
        <f>N70-'Constant prices, 1913 borders'!N70</f>
        <v>0</v>
      </c>
      <c r="Z70" s="2">
        <f>O70-'Constant prices, 1913 borders'!O70</f>
        <v>0</v>
      </c>
      <c r="AA70" s="2">
        <f>P70-'Constant prices, 1913 borders'!P70</f>
        <v>0</v>
      </c>
      <c r="AB70" s="2">
        <f>Q70-'Constant prices, 1913 borders'!Q70</f>
        <v>0.56078749528237926</v>
      </c>
      <c r="AC70" s="2">
        <f>R70-'Constant prices, 1913 borders'!R70</f>
        <v>0</v>
      </c>
      <c r="AD70" s="2">
        <f>S70-'Constant prices, 1913 borders'!S70</f>
        <v>0</v>
      </c>
      <c r="AF70">
        <f t="shared" si="0"/>
        <v>1</v>
      </c>
    </row>
    <row r="71" spans="1:32" x14ac:dyDescent="0.25">
      <c r="A71">
        <v>1864</v>
      </c>
      <c r="B71" s="6">
        <v>91.837663349171748</v>
      </c>
      <c r="C71" s="6">
        <v>0.81393792927964148</v>
      </c>
      <c r="D71" s="6"/>
      <c r="E71" s="6">
        <v>0.62830750529968282</v>
      </c>
      <c r="F71" s="6">
        <v>0.74004620005662103</v>
      </c>
      <c r="G71" s="6">
        <v>1.0183975268517271</v>
      </c>
      <c r="H71" s="6">
        <v>30.430154616406249</v>
      </c>
      <c r="I71" s="6"/>
      <c r="J71" s="6"/>
      <c r="K71" s="6"/>
      <c r="L71" s="6">
        <v>69.386054529537731</v>
      </c>
      <c r="M71" s="6">
        <v>0.81657219580112927</v>
      </c>
      <c r="N71" s="6"/>
      <c r="O71" s="6">
        <v>0.24727295969399521</v>
      </c>
      <c r="P71" s="6">
        <v>0.57227230185451716</v>
      </c>
      <c r="Q71" s="6">
        <v>0.7974313576055162</v>
      </c>
      <c r="R71" s="6">
        <v>19.150567047963616</v>
      </c>
      <c r="S71" s="4"/>
      <c r="U71" s="2"/>
      <c r="V71" s="2"/>
      <c r="W71" s="2">
        <f>L71-'Constant prices, 1913 borders'!L71</f>
        <v>0</v>
      </c>
      <c r="X71" s="2">
        <f>M71-'Constant prices, 1913 borders'!M71</f>
        <v>0</v>
      </c>
      <c r="Y71" s="2">
        <f>N71-'Constant prices, 1913 borders'!N71</f>
        <v>0</v>
      </c>
      <c r="Z71" s="2">
        <f>O71-'Constant prices, 1913 borders'!O71</f>
        <v>0</v>
      </c>
      <c r="AA71" s="2">
        <f>P71-'Constant prices, 1913 borders'!P71</f>
        <v>0</v>
      </c>
      <c r="AB71" s="2">
        <f>Q71-'Constant prices, 1913 borders'!Q71</f>
        <v>0.78547296476900164</v>
      </c>
      <c r="AC71" s="2">
        <f>R71-'Constant prices, 1913 borders'!R71</f>
        <v>0</v>
      </c>
      <c r="AD71" s="2">
        <f>S71-'Constant prices, 1913 borders'!S71</f>
        <v>0</v>
      </c>
      <c r="AF71">
        <f t="shared" si="0"/>
        <v>1</v>
      </c>
    </row>
    <row r="72" spans="1:32" x14ac:dyDescent="0.25">
      <c r="A72">
        <v>1865</v>
      </c>
      <c r="B72" s="6">
        <v>92.699140907483567</v>
      </c>
      <c r="C72" s="6">
        <v>0.93046991522031197</v>
      </c>
      <c r="D72" s="6"/>
      <c r="E72" s="6">
        <v>0.76675640143474966</v>
      </c>
      <c r="F72" s="6">
        <v>0.93061392582273594</v>
      </c>
      <c r="G72" s="6">
        <v>1.2129200888387988</v>
      </c>
      <c r="H72" s="6">
        <v>24.49387069338027</v>
      </c>
      <c r="I72" s="6"/>
      <c r="J72" s="6"/>
      <c r="K72" s="6"/>
      <c r="L72" s="6">
        <v>72.670295781690896</v>
      </c>
      <c r="M72" s="6">
        <v>0.9459292875107288</v>
      </c>
      <c r="N72" s="6"/>
      <c r="O72" s="6">
        <v>0.32894442448129357</v>
      </c>
      <c r="P72" s="6">
        <v>0.66620677282575602</v>
      </c>
      <c r="Q72" s="6">
        <v>1.1221885486131391</v>
      </c>
      <c r="R72" s="6">
        <v>21.223221866206142</v>
      </c>
      <c r="S72" s="4"/>
      <c r="U72" s="2"/>
      <c r="V72" s="2"/>
      <c r="W72" s="2">
        <f>L72-'Constant prices, 1913 borders'!L72</f>
        <v>0</v>
      </c>
      <c r="X72" s="2">
        <f>M72-'Constant prices, 1913 borders'!M72</f>
        <v>0</v>
      </c>
      <c r="Y72" s="2">
        <f>N72-'Constant prices, 1913 borders'!N72</f>
        <v>0</v>
      </c>
      <c r="Z72" s="2">
        <f>O72-'Constant prices, 1913 borders'!O72</f>
        <v>0</v>
      </c>
      <c r="AA72" s="2">
        <f>P72-'Constant prices, 1913 borders'!P72</f>
        <v>0</v>
      </c>
      <c r="AB72" s="2">
        <f>Q72-'Constant prices, 1913 borders'!Q72</f>
        <v>1.1053600512472348</v>
      </c>
      <c r="AC72" s="2">
        <f>R72-'Constant prices, 1913 borders'!R72</f>
        <v>0</v>
      </c>
      <c r="AD72" s="2">
        <f>S72-'Constant prices, 1913 borders'!S72</f>
        <v>0</v>
      </c>
      <c r="AF72">
        <f t="shared" ref="AF72:AF135" si="1">+COUNTIF(W72:AD72,"&gt;0")</f>
        <v>1</v>
      </c>
    </row>
    <row r="73" spans="1:32" x14ac:dyDescent="0.25">
      <c r="A73">
        <v>1866</v>
      </c>
      <c r="B73" s="6">
        <v>84.266963908081479</v>
      </c>
      <c r="C73" s="6">
        <v>0.86868291461249292</v>
      </c>
      <c r="D73" s="6"/>
      <c r="E73" s="6">
        <v>0.7248388291486576</v>
      </c>
      <c r="F73" s="6">
        <v>0.93095911248650864</v>
      </c>
      <c r="G73" s="6">
        <v>1.2035065191304679</v>
      </c>
      <c r="H73" s="6">
        <v>24.365309029764202</v>
      </c>
      <c r="I73" s="6"/>
      <c r="J73" s="6"/>
      <c r="K73" s="6"/>
      <c r="L73" s="6">
        <v>73.099096325111518</v>
      </c>
      <c r="M73" s="6">
        <v>1.0677098688147402</v>
      </c>
      <c r="N73" s="6"/>
      <c r="O73" s="6">
        <v>0.40087461294327159</v>
      </c>
      <c r="P73" s="6">
        <v>0.92210228167471686</v>
      </c>
      <c r="Q73" s="6">
        <v>1.2606666295879807</v>
      </c>
      <c r="R73" s="6">
        <v>33.225905224466139</v>
      </c>
      <c r="S73" s="4"/>
      <c r="U73" s="2"/>
      <c r="V73" s="2"/>
      <c r="W73" s="2">
        <f>L73-'Constant prices, 1913 borders'!L73</f>
        <v>0</v>
      </c>
      <c r="X73" s="2">
        <f>M73-'Constant prices, 1913 borders'!M73</f>
        <v>0</v>
      </c>
      <c r="Y73" s="2">
        <f>N73-'Constant prices, 1913 borders'!N73</f>
        <v>0</v>
      </c>
      <c r="Z73" s="2">
        <f>O73-'Constant prices, 1913 borders'!O73</f>
        <v>0</v>
      </c>
      <c r="AA73" s="2">
        <f>P73-'Constant prices, 1913 borders'!P73</f>
        <v>0</v>
      </c>
      <c r="AB73" s="2">
        <f>Q73-'Constant prices, 1913 borders'!Q73</f>
        <v>1.2417614954360383</v>
      </c>
      <c r="AC73" s="2">
        <f>R73-'Constant prices, 1913 borders'!R73</f>
        <v>0</v>
      </c>
      <c r="AD73" s="2">
        <f>S73-'Constant prices, 1913 borders'!S73</f>
        <v>0</v>
      </c>
      <c r="AF73">
        <f t="shared" si="1"/>
        <v>1</v>
      </c>
    </row>
    <row r="74" spans="1:32" x14ac:dyDescent="0.25">
      <c r="A74">
        <v>1867</v>
      </c>
      <c r="B74" s="6">
        <v>56.251892147122895</v>
      </c>
      <c r="C74" s="6">
        <v>0.83978486057541513</v>
      </c>
      <c r="D74" s="6"/>
      <c r="E74" s="6">
        <v>0.63913392573490135</v>
      </c>
      <c r="F74" s="6">
        <v>0.92724715471815322</v>
      </c>
      <c r="G74" s="6">
        <v>1.1452165284242211</v>
      </c>
      <c r="H74" s="6">
        <v>22.527956254794468</v>
      </c>
      <c r="I74" s="6"/>
      <c r="J74" s="6"/>
      <c r="K74" s="6"/>
      <c r="L74" s="6">
        <v>78.36734079636507</v>
      </c>
      <c r="M74" s="6">
        <v>0.82285897141779252</v>
      </c>
      <c r="N74" s="6"/>
      <c r="O74" s="6">
        <v>0.39208701353899134</v>
      </c>
      <c r="P74" s="6">
        <v>0.53680263342649115</v>
      </c>
      <c r="Q74" s="6">
        <v>0.99347570739225488</v>
      </c>
      <c r="R74" s="6">
        <v>28.576858329621739</v>
      </c>
      <c r="S74" s="4"/>
      <c r="U74" s="2"/>
      <c r="V74" s="2"/>
      <c r="W74" s="2">
        <f>L74-'Constant prices, 1913 borders'!L74</f>
        <v>0</v>
      </c>
      <c r="X74" s="2">
        <f>M74-'Constant prices, 1913 borders'!M74</f>
        <v>0</v>
      </c>
      <c r="Y74" s="2">
        <f>N74-'Constant prices, 1913 borders'!N74</f>
        <v>0</v>
      </c>
      <c r="Z74" s="2">
        <f>O74-'Constant prices, 1913 borders'!O74</f>
        <v>0</v>
      </c>
      <c r="AA74" s="2">
        <f>P74-'Constant prices, 1913 borders'!P74</f>
        <v>0</v>
      </c>
      <c r="AB74" s="2">
        <f>Q74-'Constant prices, 1913 borders'!Q74</f>
        <v>0.97857740590307785</v>
      </c>
      <c r="AC74" s="2">
        <f>R74-'Constant prices, 1913 borders'!R74</f>
        <v>0</v>
      </c>
      <c r="AD74" s="2">
        <f>S74-'Constant prices, 1913 borders'!S74</f>
        <v>0</v>
      </c>
      <c r="AF74">
        <f t="shared" si="1"/>
        <v>1</v>
      </c>
    </row>
    <row r="75" spans="1:32" x14ac:dyDescent="0.25">
      <c r="A75">
        <v>1868</v>
      </c>
      <c r="B75" s="6">
        <v>66.508031211444816</v>
      </c>
      <c r="C75" s="6">
        <v>0.87037091653912813</v>
      </c>
      <c r="D75" s="6"/>
      <c r="E75" s="6">
        <v>0.66238933900893127</v>
      </c>
      <c r="F75" s="6">
        <v>0.89280643020133199</v>
      </c>
      <c r="G75" s="6">
        <v>1.1797831005312682</v>
      </c>
      <c r="H75" s="6">
        <v>21.587724647470907</v>
      </c>
      <c r="I75" s="6"/>
      <c r="J75" s="6"/>
      <c r="K75" s="6"/>
      <c r="L75" s="6">
        <v>99.210839064323821</v>
      </c>
      <c r="M75" s="6">
        <v>0.9687607958786657</v>
      </c>
      <c r="N75" s="6"/>
      <c r="O75" s="6">
        <v>0.514088449953091</v>
      </c>
      <c r="P75" s="6">
        <v>0.57386453296976014</v>
      </c>
      <c r="Q75" s="6">
        <v>1.0518075046654081</v>
      </c>
      <c r="R75" s="6">
        <v>25.443121401981308</v>
      </c>
      <c r="S75" s="4"/>
      <c r="U75" s="2"/>
      <c r="V75" s="2"/>
      <c r="W75" s="2">
        <f>L75-'Constant prices, 1913 borders'!L75</f>
        <v>0</v>
      </c>
      <c r="X75" s="2">
        <f>M75-'Constant prices, 1913 borders'!M75</f>
        <v>0</v>
      </c>
      <c r="Y75" s="2">
        <f>N75-'Constant prices, 1913 borders'!N75</f>
        <v>0</v>
      </c>
      <c r="Z75" s="2">
        <f>O75-'Constant prices, 1913 borders'!O75</f>
        <v>0</v>
      </c>
      <c r="AA75" s="2">
        <f>P75-'Constant prices, 1913 borders'!P75</f>
        <v>0</v>
      </c>
      <c r="AB75" s="2">
        <f>Q75-'Constant prices, 1913 borders'!Q75</f>
        <v>1.0360344513370923</v>
      </c>
      <c r="AC75" s="2">
        <f>R75-'Constant prices, 1913 borders'!R75</f>
        <v>0</v>
      </c>
      <c r="AD75" s="2">
        <f>S75-'Constant prices, 1913 borders'!S75</f>
        <v>0</v>
      </c>
      <c r="AF75">
        <f t="shared" si="1"/>
        <v>1</v>
      </c>
    </row>
    <row r="76" spans="1:32" x14ac:dyDescent="0.25">
      <c r="A76">
        <v>1869</v>
      </c>
      <c r="B76" s="6">
        <v>82.93359710123049</v>
      </c>
      <c r="C76" s="6">
        <v>0.95746372766253052</v>
      </c>
      <c r="D76" s="6"/>
      <c r="E76" s="6">
        <v>0.791430432043573</v>
      </c>
      <c r="F76" s="6">
        <v>1.04919622292843</v>
      </c>
      <c r="G76" s="6">
        <v>1.3239426512027639</v>
      </c>
      <c r="H76" s="6">
        <v>21.401096252330198</v>
      </c>
      <c r="I76" s="6"/>
      <c r="J76" s="6"/>
      <c r="K76" s="6"/>
      <c r="L76" s="6">
        <v>92.339905707320554</v>
      </c>
      <c r="M76" s="6">
        <v>1.0685318565792039</v>
      </c>
      <c r="N76" s="6"/>
      <c r="O76" s="6">
        <v>0.58243179794262823</v>
      </c>
      <c r="P76" s="6">
        <v>0.89376674021175495</v>
      </c>
      <c r="Q76" s="6">
        <v>1.2190866421250524</v>
      </c>
      <c r="R76" s="6">
        <v>29.535550045060791</v>
      </c>
      <c r="S76" s="4"/>
      <c r="U76" s="2"/>
      <c r="V76" s="2"/>
      <c r="W76" s="2">
        <f>L76-'Constant prices, 1913 borders'!L76</f>
        <v>0</v>
      </c>
      <c r="X76" s="2">
        <f>M76-'Constant prices, 1913 borders'!M76</f>
        <v>0</v>
      </c>
      <c r="Y76" s="2">
        <f>N76-'Constant prices, 1913 borders'!N76</f>
        <v>0</v>
      </c>
      <c r="Z76" s="2">
        <f>O76-'Constant prices, 1913 borders'!O76</f>
        <v>0</v>
      </c>
      <c r="AA76" s="2">
        <f>P76-'Constant prices, 1913 borders'!P76</f>
        <v>0</v>
      </c>
      <c r="AB76" s="2">
        <f>Q76-'Constant prices, 1913 borders'!Q76</f>
        <v>1.2008050473153702</v>
      </c>
      <c r="AC76" s="2">
        <f>R76-'Constant prices, 1913 borders'!R76</f>
        <v>0</v>
      </c>
      <c r="AD76" s="2">
        <f>S76-'Constant prices, 1913 borders'!S76</f>
        <v>0</v>
      </c>
      <c r="AF76">
        <f t="shared" si="1"/>
        <v>1</v>
      </c>
    </row>
    <row r="77" spans="1:32" x14ac:dyDescent="0.25">
      <c r="A77">
        <v>1870</v>
      </c>
      <c r="B77" s="6">
        <v>74.926605939500419</v>
      </c>
      <c r="C77" s="6">
        <v>0.89435038899881447</v>
      </c>
      <c r="D77" s="6"/>
      <c r="E77" s="6">
        <v>0.80606110617258786</v>
      </c>
      <c r="F77" s="6">
        <v>1.1099265146068902</v>
      </c>
      <c r="G77" s="6">
        <v>1.3545437160535074</v>
      </c>
      <c r="H77" s="6">
        <v>19.693804175746415</v>
      </c>
      <c r="I77" s="6"/>
      <c r="J77" s="6"/>
      <c r="K77" s="6"/>
      <c r="L77" s="6">
        <v>87.470408731708673</v>
      </c>
      <c r="M77" s="6">
        <v>0.95607939638500383</v>
      </c>
      <c r="N77" s="6"/>
      <c r="O77" s="6">
        <v>0.50540911711548642</v>
      </c>
      <c r="P77" s="6">
        <v>0.77300319927690797</v>
      </c>
      <c r="Q77" s="6">
        <v>1.5330490990461909</v>
      </c>
      <c r="R77" s="6">
        <v>24.557198850458715</v>
      </c>
      <c r="S77" s="4"/>
      <c r="U77" s="2"/>
      <c r="V77" s="2"/>
      <c r="W77" s="2">
        <f>L77-'Constant prices, 1913 borders'!L77</f>
        <v>0</v>
      </c>
      <c r="X77" s="2">
        <f>M77-'Constant prices, 1913 borders'!M77</f>
        <v>0</v>
      </c>
      <c r="Y77" s="2">
        <f>N77-'Constant prices, 1913 borders'!N77</f>
        <v>0</v>
      </c>
      <c r="Z77" s="2">
        <f>O77-'Constant prices, 1913 borders'!O77</f>
        <v>0</v>
      </c>
      <c r="AA77" s="2">
        <f>P77-'Constant prices, 1913 borders'!P77</f>
        <v>0</v>
      </c>
      <c r="AB77" s="2">
        <f>Q77-'Constant prices, 1913 borders'!Q77</f>
        <v>1.510059279058289</v>
      </c>
      <c r="AC77" s="2">
        <f>R77-'Constant prices, 1913 borders'!R77</f>
        <v>0</v>
      </c>
      <c r="AD77" s="2">
        <f>S77-'Constant prices, 1913 borders'!S77</f>
        <v>0</v>
      </c>
      <c r="AF77">
        <f t="shared" si="1"/>
        <v>1</v>
      </c>
    </row>
    <row r="78" spans="1:32" x14ac:dyDescent="0.25">
      <c r="A78">
        <v>1871</v>
      </c>
      <c r="B78" s="6">
        <v>71.190354923665069</v>
      </c>
      <c r="C78" s="6">
        <v>0.75765951227411632</v>
      </c>
      <c r="D78" s="6"/>
      <c r="E78" s="6">
        <v>0.65140687578063983</v>
      </c>
      <c r="F78" s="6">
        <v>0.70885418169233394</v>
      </c>
      <c r="G78" s="6">
        <v>1.1365815618639175</v>
      </c>
      <c r="H78" s="6">
        <v>17.233239968307732</v>
      </c>
      <c r="I78" s="6"/>
      <c r="J78" s="6"/>
      <c r="K78" s="6"/>
      <c r="L78" s="6">
        <v>86.318497776999877</v>
      </c>
      <c r="M78" s="6">
        <v>0.86844513156425307</v>
      </c>
      <c r="N78" s="6"/>
      <c r="O78" s="6">
        <v>0.3568583106332533</v>
      </c>
      <c r="P78" s="6">
        <v>0.77599160986872828</v>
      </c>
      <c r="Q78" s="6">
        <v>1.016787698029846</v>
      </c>
      <c r="R78" s="6">
        <v>51.786866791657893</v>
      </c>
      <c r="S78" s="4"/>
      <c r="U78" s="2"/>
      <c r="V78" s="2"/>
      <c r="W78" s="2">
        <f>L78-'Constant prices, 1913 borders'!L78</f>
        <v>0</v>
      </c>
      <c r="X78" s="2">
        <f>M78-'Constant prices, 1913 borders'!M78</f>
        <v>0</v>
      </c>
      <c r="Y78" s="2">
        <f>N78-'Constant prices, 1913 borders'!N78</f>
        <v>0</v>
      </c>
      <c r="Z78" s="2">
        <f>O78-'Constant prices, 1913 borders'!O78</f>
        <v>0</v>
      </c>
      <c r="AA78" s="2">
        <f>P78-'Constant prices, 1913 borders'!P78</f>
        <v>0</v>
      </c>
      <c r="AB78" s="2">
        <f>Q78-'Constant prices, 1913 borders'!Q78</f>
        <v>1.0015398066490919</v>
      </c>
      <c r="AC78" s="2">
        <f>R78-'Constant prices, 1913 borders'!R78</f>
        <v>0</v>
      </c>
      <c r="AD78" s="2">
        <f>S78-'Constant prices, 1913 borders'!S78</f>
        <v>0</v>
      </c>
      <c r="AF78">
        <f t="shared" si="1"/>
        <v>1</v>
      </c>
    </row>
    <row r="79" spans="1:32" x14ac:dyDescent="0.25">
      <c r="A79">
        <v>1872</v>
      </c>
      <c r="B79" s="6">
        <v>75.318974136200666</v>
      </c>
      <c r="C79" s="6">
        <v>0.76704800485660307</v>
      </c>
      <c r="D79" s="6"/>
      <c r="E79" s="6">
        <v>0.63670568479024525</v>
      </c>
      <c r="F79" s="6">
        <v>0.92993747836297258</v>
      </c>
      <c r="G79" s="6">
        <v>1.1132021123264313</v>
      </c>
      <c r="H79" s="6">
        <v>19.787772565418127</v>
      </c>
      <c r="I79" s="6"/>
      <c r="J79" s="6"/>
      <c r="K79" s="6"/>
      <c r="L79" s="6">
        <v>98.178028469887664</v>
      </c>
      <c r="M79" s="6">
        <v>0.80966668223878424</v>
      </c>
      <c r="N79" s="6"/>
      <c r="O79" s="6">
        <v>0.23678570364866211</v>
      </c>
      <c r="P79" s="6">
        <v>0.48189275800998044</v>
      </c>
      <c r="Q79" s="6">
        <v>0.80997258388850446</v>
      </c>
      <c r="R79" s="6">
        <v>30.46373166850665</v>
      </c>
      <c r="S79" s="4"/>
      <c r="U79" s="2"/>
      <c r="V79" s="2"/>
      <c r="W79" s="2">
        <f>L79-'Constant prices, 1913 borders'!L79</f>
        <v>0</v>
      </c>
      <c r="X79" s="2">
        <f>M79-'Constant prices, 1913 borders'!M79</f>
        <v>0</v>
      </c>
      <c r="Y79" s="2">
        <f>N79-'Constant prices, 1913 borders'!N79</f>
        <v>0</v>
      </c>
      <c r="Z79" s="2">
        <f>O79-'Constant prices, 1913 borders'!O79</f>
        <v>0</v>
      </c>
      <c r="AA79" s="2">
        <f>P79-'Constant prices, 1913 borders'!P79</f>
        <v>0</v>
      </c>
      <c r="AB79" s="2">
        <f>Q79-'Constant prices, 1913 borders'!Q79</f>
        <v>0.79782612105811124</v>
      </c>
      <c r="AC79" s="2">
        <f>R79-'Constant prices, 1913 borders'!R79</f>
        <v>0</v>
      </c>
      <c r="AD79" s="2">
        <f>S79-'Constant prices, 1913 borders'!S79</f>
        <v>0</v>
      </c>
      <c r="AF79">
        <f t="shared" si="1"/>
        <v>1</v>
      </c>
    </row>
    <row r="80" spans="1:32" x14ac:dyDescent="0.25">
      <c r="A80">
        <v>1873</v>
      </c>
      <c r="B80" s="6">
        <v>96.843936435130658</v>
      </c>
      <c r="C80" s="6">
        <v>0.58834765385835286</v>
      </c>
      <c r="D80" s="6"/>
      <c r="E80" s="6">
        <v>0.49079666216839996</v>
      </c>
      <c r="F80" s="6">
        <v>0.63762490930112758</v>
      </c>
      <c r="G80" s="6">
        <v>0.8699132473227581</v>
      </c>
      <c r="H80" s="6">
        <v>22.823382612485634</v>
      </c>
      <c r="I80" s="6"/>
      <c r="J80" s="6"/>
      <c r="K80" s="6"/>
      <c r="L80" s="6">
        <v>108.46655275726137</v>
      </c>
      <c r="M80" s="6">
        <v>1.0237422051688319</v>
      </c>
      <c r="N80" s="6"/>
      <c r="O80" s="6">
        <v>0.25865990075262973</v>
      </c>
      <c r="P80" s="6">
        <v>0.89766367921051604</v>
      </c>
      <c r="Q80" s="6">
        <v>1.1878882655836429</v>
      </c>
      <c r="R80" s="6">
        <v>39.070116794159709</v>
      </c>
      <c r="S80" s="4"/>
      <c r="U80" s="2"/>
      <c r="V80" s="2"/>
      <c r="W80" s="2">
        <f>L80-'Constant prices, 1913 borders'!L80</f>
        <v>0</v>
      </c>
      <c r="X80" s="2">
        <f>M80-'Constant prices, 1913 borders'!M80</f>
        <v>0</v>
      </c>
      <c r="Y80" s="2">
        <f>N80-'Constant prices, 1913 borders'!N80</f>
        <v>0</v>
      </c>
      <c r="Z80" s="2">
        <f>O80-'Constant prices, 1913 borders'!O80</f>
        <v>0</v>
      </c>
      <c r="AA80" s="2">
        <f>P80-'Constant prices, 1913 borders'!P80</f>
        <v>0</v>
      </c>
      <c r="AB80" s="2">
        <f>Q80-'Constant prices, 1913 borders'!Q80</f>
        <v>1.1700745260181589</v>
      </c>
      <c r="AC80" s="2">
        <f>R80-'Constant prices, 1913 borders'!R80</f>
        <v>0</v>
      </c>
      <c r="AD80" s="2">
        <f>S80-'Constant prices, 1913 borders'!S80</f>
        <v>0</v>
      </c>
      <c r="AF80">
        <f t="shared" si="1"/>
        <v>1</v>
      </c>
    </row>
    <row r="81" spans="1:32" x14ac:dyDescent="0.25">
      <c r="A81">
        <v>1874</v>
      </c>
      <c r="B81" s="6">
        <v>97.692110823210555</v>
      </c>
      <c r="C81" s="6">
        <v>0.55678744121791945</v>
      </c>
      <c r="D81" s="6"/>
      <c r="E81" s="6">
        <v>0.48838674338650712</v>
      </c>
      <c r="F81" s="6">
        <v>0.43487643874182252</v>
      </c>
      <c r="G81" s="6">
        <v>0.86225809814969456</v>
      </c>
      <c r="H81" s="6">
        <v>29.564263520204189</v>
      </c>
      <c r="I81" s="6"/>
      <c r="J81" s="6"/>
      <c r="K81" s="6"/>
      <c r="L81" s="6">
        <v>106.48449812494287</v>
      </c>
      <c r="M81" s="6">
        <v>0.8963812590126462</v>
      </c>
      <c r="N81" s="6"/>
      <c r="O81" s="6">
        <v>0.23124040215163161</v>
      </c>
      <c r="P81" s="6">
        <v>0.57508430544279465</v>
      </c>
      <c r="Q81" s="6">
        <v>1.1164531353034317</v>
      </c>
      <c r="R81" s="6">
        <v>34.201622680678149</v>
      </c>
      <c r="S81" s="4"/>
      <c r="U81" s="2"/>
      <c r="V81" s="2"/>
      <c r="W81" s="2">
        <f>L81-'Constant prices, 1913 borders'!L81</f>
        <v>0</v>
      </c>
      <c r="X81" s="2">
        <f>M81-'Constant prices, 1913 borders'!M81</f>
        <v>0</v>
      </c>
      <c r="Y81" s="2">
        <f>N81-'Constant prices, 1913 borders'!N81</f>
        <v>0</v>
      </c>
      <c r="Z81" s="2">
        <f>O81-'Constant prices, 1913 borders'!O81</f>
        <v>0</v>
      </c>
      <c r="AA81" s="2">
        <f>P81-'Constant prices, 1913 borders'!P81</f>
        <v>0</v>
      </c>
      <c r="AB81" s="2">
        <f>Q81-'Constant prices, 1913 borders'!Q81</f>
        <v>1.0997106470024871</v>
      </c>
      <c r="AC81" s="2">
        <f>R81-'Constant prices, 1913 borders'!R81</f>
        <v>0</v>
      </c>
      <c r="AD81" s="2">
        <f>S81-'Constant prices, 1913 borders'!S81</f>
        <v>0</v>
      </c>
      <c r="AF81">
        <f t="shared" si="1"/>
        <v>1</v>
      </c>
    </row>
    <row r="82" spans="1:32" x14ac:dyDescent="0.25">
      <c r="A82">
        <v>1875</v>
      </c>
      <c r="B82" s="6">
        <v>105.29645481096622</v>
      </c>
      <c r="C82" s="6">
        <v>0.79180059517236567</v>
      </c>
      <c r="D82" s="6"/>
      <c r="E82" s="6">
        <v>0.7756726941708153</v>
      </c>
      <c r="F82" s="6">
        <v>0.71331548739557848</v>
      </c>
      <c r="G82" s="6">
        <v>1.3445864943770816</v>
      </c>
      <c r="H82" s="6">
        <v>31.619604498263193</v>
      </c>
      <c r="I82" s="6"/>
      <c r="J82" s="6"/>
      <c r="K82" s="6"/>
      <c r="L82" s="6">
        <v>104.11729148262094</v>
      </c>
      <c r="M82" s="6">
        <v>1.0140286715117028</v>
      </c>
      <c r="N82" s="6"/>
      <c r="O82" s="6">
        <v>0.27516418378137952</v>
      </c>
      <c r="P82" s="6">
        <v>0.68542894369832352</v>
      </c>
      <c r="Q82" s="6">
        <v>1.3130243168537965</v>
      </c>
      <c r="R82" s="6">
        <v>36.259499282430674</v>
      </c>
      <c r="S82" s="4"/>
      <c r="U82" s="2"/>
      <c r="V82" s="2"/>
      <c r="W82" s="2">
        <f>L82-'Constant prices, 1913 borders'!L82</f>
        <v>0</v>
      </c>
      <c r="X82" s="2">
        <f>M82-'Constant prices, 1913 borders'!M82</f>
        <v>0</v>
      </c>
      <c r="Y82" s="2">
        <f>N82-'Constant prices, 1913 borders'!N82</f>
        <v>0</v>
      </c>
      <c r="Z82" s="2">
        <f>O82-'Constant prices, 1913 borders'!O82</f>
        <v>0</v>
      </c>
      <c r="AA82" s="2">
        <f>P82-'Constant prices, 1913 borders'!P82</f>
        <v>0</v>
      </c>
      <c r="AB82" s="2">
        <f>Q82-'Constant prices, 1913 borders'!Q82</f>
        <v>1.2933340194569374</v>
      </c>
      <c r="AC82" s="2">
        <f>R82-'Constant prices, 1913 borders'!R82</f>
        <v>0</v>
      </c>
      <c r="AD82" s="2">
        <f>S82-'Constant prices, 1913 borders'!S82</f>
        <v>0</v>
      </c>
      <c r="AF82">
        <f t="shared" si="1"/>
        <v>1</v>
      </c>
    </row>
    <row r="83" spans="1:32" x14ac:dyDescent="0.25">
      <c r="A83">
        <v>1876</v>
      </c>
      <c r="B83" s="6">
        <v>103.01133581261554</v>
      </c>
      <c r="C83" s="6">
        <v>0.64237608862301754</v>
      </c>
      <c r="D83" s="6"/>
      <c r="E83" s="6">
        <v>0.82358964935565737</v>
      </c>
      <c r="F83" s="6">
        <v>0.59658259847373596</v>
      </c>
      <c r="G83" s="6">
        <v>1.3954301803681148</v>
      </c>
      <c r="H83" s="6">
        <v>27.788289486190585</v>
      </c>
      <c r="I83" s="6"/>
      <c r="J83" s="6"/>
      <c r="K83" s="6"/>
      <c r="L83" s="6">
        <v>103.48962890352581</v>
      </c>
      <c r="M83" s="6">
        <v>1.0542848397152758</v>
      </c>
      <c r="N83" s="6"/>
      <c r="O83" s="6">
        <v>0.31955720452758557</v>
      </c>
      <c r="P83" s="6">
        <v>0.62211460273187147</v>
      </c>
      <c r="Q83" s="6">
        <v>1.4643983985209228</v>
      </c>
      <c r="R83" s="6">
        <v>33.514247119982521</v>
      </c>
      <c r="S83" s="4"/>
      <c r="U83" s="2"/>
      <c r="V83" s="2"/>
      <c r="W83" s="2">
        <f>L83-'Constant prices, 1913 borders'!L83</f>
        <v>0</v>
      </c>
      <c r="X83" s="2">
        <f>M83-'Constant prices, 1913 borders'!M83</f>
        <v>0</v>
      </c>
      <c r="Y83" s="2">
        <f>N83-'Constant prices, 1913 borders'!N83</f>
        <v>0</v>
      </c>
      <c r="Z83" s="2">
        <f>O83-'Constant prices, 1913 borders'!O83</f>
        <v>0</v>
      </c>
      <c r="AA83" s="2">
        <f>P83-'Constant prices, 1913 borders'!P83</f>
        <v>0</v>
      </c>
      <c r="AB83" s="2">
        <f>Q83-'Constant prices, 1913 borders'!Q83</f>
        <v>1.4424380740971885</v>
      </c>
      <c r="AC83" s="2">
        <f>R83-'Constant prices, 1913 borders'!R83</f>
        <v>0</v>
      </c>
      <c r="AD83" s="2">
        <f>S83-'Constant prices, 1913 borders'!S83</f>
        <v>0</v>
      </c>
      <c r="AF83">
        <f t="shared" si="1"/>
        <v>1</v>
      </c>
    </row>
    <row r="84" spans="1:32" x14ac:dyDescent="0.25">
      <c r="A84">
        <v>1877</v>
      </c>
      <c r="B84" s="6">
        <v>115.3295550096133</v>
      </c>
      <c r="C84" s="6">
        <v>0.90581056815864691</v>
      </c>
      <c r="D84" s="6"/>
      <c r="E84" s="6">
        <v>1.1225824381232707</v>
      </c>
      <c r="F84" s="6">
        <v>1.0182467901828349</v>
      </c>
      <c r="G84" s="6">
        <v>1.9677554523882104</v>
      </c>
      <c r="H84" s="6">
        <v>28.578196061007681</v>
      </c>
      <c r="I84" s="6"/>
      <c r="J84" s="6"/>
      <c r="K84" s="6"/>
      <c r="L84" s="6">
        <v>110.77892054707718</v>
      </c>
      <c r="M84" s="6">
        <v>1.3217993865190614</v>
      </c>
      <c r="N84" s="6"/>
      <c r="O84" s="6">
        <v>0.36082654689125632</v>
      </c>
      <c r="P84" s="6">
        <v>0.61943926609970057</v>
      </c>
      <c r="Q84" s="6">
        <v>1.506697568022962</v>
      </c>
      <c r="R84" s="6">
        <v>41.822895634812632</v>
      </c>
      <c r="S84" s="4"/>
      <c r="U84" s="2"/>
      <c r="V84" s="2"/>
      <c r="W84" s="2">
        <f>L84-'Constant prices, 1913 borders'!L84</f>
        <v>0</v>
      </c>
      <c r="X84" s="2">
        <f>M84-'Constant prices, 1913 borders'!M84</f>
        <v>0</v>
      </c>
      <c r="Y84" s="2">
        <f>N84-'Constant prices, 1913 borders'!N84</f>
        <v>0</v>
      </c>
      <c r="Z84" s="2">
        <f>O84-'Constant prices, 1913 borders'!O84</f>
        <v>0</v>
      </c>
      <c r="AA84" s="2">
        <f>P84-'Constant prices, 1913 borders'!P84</f>
        <v>0</v>
      </c>
      <c r="AB84" s="2">
        <f>Q84-'Constant prices, 1913 borders'!Q84</f>
        <v>1.4841029193019208</v>
      </c>
      <c r="AC84" s="2">
        <f>R84-'Constant prices, 1913 borders'!R84</f>
        <v>0</v>
      </c>
      <c r="AD84" s="2">
        <f>S84-'Constant prices, 1913 borders'!S84</f>
        <v>0</v>
      </c>
      <c r="AF84">
        <f t="shared" si="1"/>
        <v>1</v>
      </c>
    </row>
    <row r="85" spans="1:32" x14ac:dyDescent="0.25">
      <c r="A85">
        <v>1878</v>
      </c>
      <c r="B85" s="6">
        <v>118.00507053691631</v>
      </c>
      <c r="C85" s="6">
        <v>0.97998487784189903</v>
      </c>
      <c r="D85" s="6"/>
      <c r="E85" s="6">
        <v>1.5362691693799446</v>
      </c>
      <c r="F85" s="6">
        <v>1.2324459068430791</v>
      </c>
      <c r="G85" s="6">
        <v>2.6774601384861598</v>
      </c>
      <c r="H85" s="6">
        <v>37.517688868554785</v>
      </c>
      <c r="I85" s="6"/>
      <c r="J85" s="6"/>
      <c r="K85" s="6"/>
      <c r="L85" s="6">
        <v>114.46855219098147</v>
      </c>
      <c r="M85" s="6">
        <v>1.6126836965812619</v>
      </c>
      <c r="N85" s="6"/>
      <c r="O85" s="6">
        <v>0.5996018392973439</v>
      </c>
      <c r="P85" s="6">
        <v>0.88803149067772758</v>
      </c>
      <c r="Q85" s="6">
        <v>2.1818623636307986</v>
      </c>
      <c r="R85" s="6">
        <v>33.791309016043414</v>
      </c>
      <c r="S85" s="4"/>
      <c r="U85" s="2"/>
      <c r="V85" s="2"/>
      <c r="W85" s="2">
        <f>L85-'Constant prices, 1913 borders'!L85</f>
        <v>0</v>
      </c>
      <c r="X85" s="2">
        <f>M85-'Constant prices, 1913 borders'!M85</f>
        <v>0</v>
      </c>
      <c r="Y85" s="2">
        <f>N85-'Constant prices, 1913 borders'!N85</f>
        <v>0</v>
      </c>
      <c r="Z85" s="2">
        <f>O85-'Constant prices, 1913 borders'!O85</f>
        <v>0</v>
      </c>
      <c r="AA85" s="2">
        <f>P85-'Constant prices, 1913 borders'!P85</f>
        <v>0</v>
      </c>
      <c r="AB85" s="2">
        <f>Q85-'Constant prices, 1913 borders'!Q85</f>
        <v>2.1491428486397535</v>
      </c>
      <c r="AC85" s="2">
        <f>R85-'Constant prices, 1913 borders'!R85</f>
        <v>0</v>
      </c>
      <c r="AD85" s="2">
        <f>S85-'Constant prices, 1913 borders'!S85</f>
        <v>0</v>
      </c>
      <c r="AF85">
        <f t="shared" si="1"/>
        <v>1</v>
      </c>
    </row>
    <row r="86" spans="1:32" x14ac:dyDescent="0.25">
      <c r="A86">
        <v>1879</v>
      </c>
      <c r="B86" s="6">
        <v>114.17121982773175</v>
      </c>
      <c r="C86" s="6">
        <v>1.067020094053253</v>
      </c>
      <c r="D86" s="6"/>
      <c r="E86" s="6">
        <v>1.8792672522214195</v>
      </c>
      <c r="F86" s="6">
        <v>1.9404323072802703</v>
      </c>
      <c r="G86" s="6">
        <v>3.3754350431930158</v>
      </c>
      <c r="H86" s="6">
        <v>36.999320274063251</v>
      </c>
      <c r="I86" s="6"/>
      <c r="J86" s="6"/>
      <c r="K86" s="6"/>
      <c r="L86" s="6">
        <v>98.291138733672497</v>
      </c>
      <c r="M86" s="6">
        <v>1.4893853457828354</v>
      </c>
      <c r="N86" s="6"/>
      <c r="O86" s="6">
        <v>0.68599230686601831</v>
      </c>
      <c r="P86" s="6">
        <v>0.79860774529631018</v>
      </c>
      <c r="Q86" s="6">
        <v>2.4049810976289341</v>
      </c>
      <c r="R86" s="6">
        <v>33.25354268211138</v>
      </c>
      <c r="S86" s="4"/>
      <c r="U86" s="2"/>
      <c r="V86" s="2"/>
      <c r="W86" s="2">
        <f>L86-'Constant prices, 1913 borders'!L86</f>
        <v>0</v>
      </c>
      <c r="X86" s="2">
        <f>M86-'Constant prices, 1913 borders'!M86</f>
        <v>0</v>
      </c>
      <c r="Y86" s="2">
        <f>N86-'Constant prices, 1913 borders'!N86</f>
        <v>0</v>
      </c>
      <c r="Z86" s="2">
        <f>O86-'Constant prices, 1913 borders'!O86</f>
        <v>0</v>
      </c>
      <c r="AA86" s="2">
        <f>P86-'Constant prices, 1913 borders'!P86</f>
        <v>0</v>
      </c>
      <c r="AB86" s="2">
        <f>Q86-'Constant prices, 1913 borders'!Q86</f>
        <v>2.368915662710251</v>
      </c>
      <c r="AC86" s="2">
        <f>R86-'Constant prices, 1913 borders'!R86</f>
        <v>0</v>
      </c>
      <c r="AD86" s="2">
        <f>S86-'Constant prices, 1913 borders'!S86</f>
        <v>0</v>
      </c>
      <c r="AF86">
        <f t="shared" si="1"/>
        <v>1</v>
      </c>
    </row>
    <row r="87" spans="1:32" x14ac:dyDescent="0.25">
      <c r="A87">
        <v>1880</v>
      </c>
      <c r="B87" s="6">
        <v>107.25048727272723</v>
      </c>
      <c r="C87" s="6">
        <v>1.7280728406014674</v>
      </c>
      <c r="D87" s="6"/>
      <c r="E87" s="6">
        <v>1.7595917219278481</v>
      </c>
      <c r="F87" s="6">
        <v>1.4492937032859707</v>
      </c>
      <c r="G87" s="6">
        <v>3.1411365348309022</v>
      </c>
      <c r="H87" s="6">
        <v>25.89149671940217</v>
      </c>
      <c r="I87" s="6"/>
      <c r="J87" s="6"/>
      <c r="K87" s="6"/>
      <c r="L87" s="6">
        <v>128.89563987915412</v>
      </c>
      <c r="M87" s="6">
        <v>2.0698841612484498</v>
      </c>
      <c r="N87" s="6"/>
      <c r="O87" s="6">
        <v>0.86322139150981647</v>
      </c>
      <c r="P87" s="6">
        <v>1.046627448591847</v>
      </c>
      <c r="Q87" s="6">
        <v>2.8524261456281672</v>
      </c>
      <c r="R87" s="6">
        <v>38.774682852100369</v>
      </c>
      <c r="S87" s="4"/>
      <c r="U87" s="2"/>
      <c r="V87" s="2"/>
      <c r="W87" s="2">
        <f>L87-'Constant prices, 1913 borders'!L87</f>
        <v>0</v>
      </c>
      <c r="X87" s="2">
        <f>M87-'Constant prices, 1913 borders'!M87</f>
        <v>0</v>
      </c>
      <c r="Y87" s="2">
        <f>N87-'Constant prices, 1913 borders'!N87</f>
        <v>0</v>
      </c>
      <c r="Z87" s="2">
        <f>O87-'Constant prices, 1913 borders'!O87</f>
        <v>0</v>
      </c>
      <c r="AA87" s="2">
        <f>P87-'Constant prices, 1913 borders'!P87</f>
        <v>0</v>
      </c>
      <c r="AB87" s="2">
        <f>Q87-'Constant prices, 1913 borders'!Q87</f>
        <v>2.809650761814579</v>
      </c>
      <c r="AC87" s="2">
        <f>R87-'Constant prices, 1913 borders'!R87</f>
        <v>0</v>
      </c>
      <c r="AD87" s="2">
        <f>S87-'Constant prices, 1913 borders'!S87</f>
        <v>0</v>
      </c>
      <c r="AF87">
        <f t="shared" si="1"/>
        <v>1</v>
      </c>
    </row>
    <row r="88" spans="1:32" x14ac:dyDescent="0.25">
      <c r="A88">
        <v>1881</v>
      </c>
      <c r="B88" s="6">
        <v>137.33671211582416</v>
      </c>
      <c r="C88" s="6">
        <v>2.4188139685861128</v>
      </c>
      <c r="D88" s="6"/>
      <c r="E88" s="6">
        <v>2.1821026474806495</v>
      </c>
      <c r="F88" s="6">
        <v>2.1146394082628261</v>
      </c>
      <c r="G88" s="6">
        <v>3.9226399347493737</v>
      </c>
      <c r="H88" s="6">
        <v>32.6464767061507</v>
      </c>
      <c r="I88" s="6"/>
      <c r="J88" s="6"/>
      <c r="K88" s="6"/>
      <c r="L88" s="6">
        <v>131.06321558673142</v>
      </c>
      <c r="M88" s="6">
        <v>1.7774601464756061</v>
      </c>
      <c r="N88" s="6"/>
      <c r="O88" s="6">
        <v>1.5304377260064621</v>
      </c>
      <c r="P88" s="6">
        <v>1.8954662009083791</v>
      </c>
      <c r="Q88" s="6">
        <v>4.2594538188136282</v>
      </c>
      <c r="R88" s="6">
        <v>36.952602939024565</v>
      </c>
      <c r="S88" s="4"/>
      <c r="U88" s="2"/>
      <c r="V88" s="2"/>
      <c r="W88" s="2">
        <f>L88-'Constant prices, 1913 borders'!L88</f>
        <v>0</v>
      </c>
      <c r="X88" s="2">
        <f>M88-'Constant prices, 1913 borders'!M88</f>
        <v>0</v>
      </c>
      <c r="Y88" s="2">
        <f>N88-'Constant prices, 1913 borders'!N88</f>
        <v>0</v>
      </c>
      <c r="Z88" s="2">
        <f>O88-'Constant prices, 1913 borders'!O88</f>
        <v>0</v>
      </c>
      <c r="AA88" s="2">
        <f>P88-'Constant prices, 1913 borders'!P88</f>
        <v>0</v>
      </c>
      <c r="AB88" s="2">
        <f>Q88-'Constant prices, 1913 borders'!Q88</f>
        <v>4.1955784500454447</v>
      </c>
      <c r="AC88" s="2">
        <f>R88-'Constant prices, 1913 borders'!R88</f>
        <v>0</v>
      </c>
      <c r="AD88" s="2">
        <f>S88-'Constant prices, 1913 borders'!S88</f>
        <v>0</v>
      </c>
      <c r="AF88">
        <f t="shared" si="1"/>
        <v>1</v>
      </c>
    </row>
    <row r="89" spans="1:32" x14ac:dyDescent="0.25">
      <c r="A89">
        <v>1882</v>
      </c>
      <c r="B89" s="6">
        <v>171.44885215763031</v>
      </c>
      <c r="C89" s="6">
        <v>2.4232980941018294</v>
      </c>
      <c r="D89" s="6"/>
      <c r="E89" s="6">
        <v>2.3624101269946274</v>
      </c>
      <c r="F89" s="6">
        <v>2.2301147083240003</v>
      </c>
      <c r="G89" s="6">
        <v>4.2114743800941499</v>
      </c>
      <c r="H89" s="6">
        <v>37.438246454401742</v>
      </c>
      <c r="I89" s="6"/>
      <c r="J89" s="6"/>
      <c r="K89" s="6"/>
      <c r="L89" s="6">
        <v>125.99178036744347</v>
      </c>
      <c r="M89" s="6">
        <v>2.0349857339734765</v>
      </c>
      <c r="N89" s="6"/>
      <c r="O89" s="6">
        <v>2.4462625492996977</v>
      </c>
      <c r="P89" s="6">
        <v>3.0643079545543328</v>
      </c>
      <c r="Q89" s="6">
        <v>5.4525221396853727</v>
      </c>
      <c r="R89" s="6">
        <v>39.69044583577012</v>
      </c>
      <c r="S89" s="4"/>
      <c r="U89" s="2"/>
      <c r="V89" s="2"/>
      <c r="W89" s="2">
        <f>L89-'Constant prices, 1913 borders'!L89</f>
        <v>0</v>
      </c>
      <c r="X89" s="2">
        <f>M89-'Constant prices, 1913 borders'!M89</f>
        <v>0</v>
      </c>
      <c r="Y89" s="2">
        <f>N89-'Constant prices, 1913 borders'!N89</f>
        <v>0</v>
      </c>
      <c r="Z89" s="2">
        <f>O89-'Constant prices, 1913 borders'!O89</f>
        <v>0</v>
      </c>
      <c r="AA89" s="2">
        <f>P89-'Constant prices, 1913 borders'!P89</f>
        <v>0</v>
      </c>
      <c r="AB89" s="2">
        <f>Q89-'Constant prices, 1913 borders'!Q89</f>
        <v>5.3707553505137762</v>
      </c>
      <c r="AC89" s="2">
        <f>R89-'Constant prices, 1913 borders'!R89</f>
        <v>0</v>
      </c>
      <c r="AD89" s="2">
        <f>S89-'Constant prices, 1913 borders'!S89</f>
        <v>0</v>
      </c>
      <c r="AF89">
        <f t="shared" si="1"/>
        <v>1</v>
      </c>
    </row>
    <row r="90" spans="1:32" x14ac:dyDescent="0.25">
      <c r="A90">
        <v>1883</v>
      </c>
      <c r="B90" s="6">
        <v>165.59463037169317</v>
      </c>
      <c r="C90" s="6">
        <v>3.6037359474174364</v>
      </c>
      <c r="D90" s="6"/>
      <c r="E90" s="6">
        <v>2.8335635526623588</v>
      </c>
      <c r="F90" s="6">
        <v>3.4914945846291872</v>
      </c>
      <c r="G90" s="6">
        <v>4.9666782653820665</v>
      </c>
      <c r="H90" s="6">
        <v>35.175061159689569</v>
      </c>
      <c r="I90" s="6"/>
      <c r="J90" s="6"/>
      <c r="K90" s="6"/>
      <c r="L90" s="6">
        <v>138.67861288338889</v>
      </c>
      <c r="M90" s="6">
        <v>3.3897063796274951</v>
      </c>
      <c r="N90" s="6"/>
      <c r="O90" s="6">
        <v>2.067224093316391</v>
      </c>
      <c r="P90" s="6">
        <v>2.5150528078049019</v>
      </c>
      <c r="Q90" s="6">
        <v>4.8839504733838552</v>
      </c>
      <c r="R90" s="6">
        <v>43.011635521532448</v>
      </c>
      <c r="S90" s="4"/>
      <c r="U90" s="2"/>
      <c r="V90" s="2"/>
      <c r="W90" s="2">
        <f>L90-'Constant prices, 1913 borders'!L90</f>
        <v>0</v>
      </c>
      <c r="X90" s="2">
        <f>M90-'Constant prices, 1913 borders'!M90</f>
        <v>0</v>
      </c>
      <c r="Y90" s="2">
        <f>N90-'Constant prices, 1913 borders'!N90</f>
        <v>0</v>
      </c>
      <c r="Z90" s="2">
        <f>O90-'Constant prices, 1913 borders'!O90</f>
        <v>0</v>
      </c>
      <c r="AA90" s="2">
        <f>P90-'Constant prices, 1913 borders'!P90</f>
        <v>0</v>
      </c>
      <c r="AB90" s="2">
        <f>Q90-'Constant prices, 1913 borders'!Q90</f>
        <v>4.8107100649176289</v>
      </c>
      <c r="AC90" s="2">
        <f>R90-'Constant prices, 1913 borders'!R90</f>
        <v>0</v>
      </c>
      <c r="AD90" s="2">
        <f>S90-'Constant prices, 1913 borders'!S90</f>
        <v>0</v>
      </c>
      <c r="AF90">
        <f t="shared" si="1"/>
        <v>1</v>
      </c>
    </row>
    <row r="91" spans="1:32" x14ac:dyDescent="0.25">
      <c r="A91">
        <v>1884</v>
      </c>
      <c r="B91" s="6">
        <v>174.29605536226975</v>
      </c>
      <c r="C91" s="6">
        <v>3.529131167677769</v>
      </c>
      <c r="D91" s="6"/>
      <c r="E91" s="6">
        <v>2.5739970253671913</v>
      </c>
      <c r="F91" s="6">
        <v>2.5805359855305059</v>
      </c>
      <c r="G91" s="6">
        <v>4.4126679115209049</v>
      </c>
      <c r="H91" s="6">
        <v>35.194169104981938</v>
      </c>
      <c r="I91" s="6"/>
      <c r="J91" s="6"/>
      <c r="K91" s="6"/>
      <c r="L91" s="6">
        <v>133.63224624535323</v>
      </c>
      <c r="M91" s="6">
        <v>2.9313282175920743</v>
      </c>
      <c r="N91" s="6"/>
      <c r="O91" s="6">
        <v>1.8899863092330629</v>
      </c>
      <c r="P91" s="6">
        <v>2.5233194153076575</v>
      </c>
      <c r="Q91" s="6">
        <v>5.8318086039024664</v>
      </c>
      <c r="R91" s="6">
        <v>43.769356121530897</v>
      </c>
      <c r="S91" s="4"/>
      <c r="U91" s="2"/>
      <c r="V91" s="2"/>
      <c r="W91" s="2">
        <f>L91-'Constant prices, 1913 borders'!L91</f>
        <v>0</v>
      </c>
      <c r="X91" s="2">
        <f>M91-'Constant prices, 1913 borders'!M91</f>
        <v>0</v>
      </c>
      <c r="Y91" s="2">
        <f>N91-'Constant prices, 1913 borders'!N91</f>
        <v>0</v>
      </c>
      <c r="Z91" s="2">
        <f>O91-'Constant prices, 1913 borders'!O91</f>
        <v>0</v>
      </c>
      <c r="AA91" s="2">
        <f>P91-'Constant prices, 1913 borders'!P91</f>
        <v>0</v>
      </c>
      <c r="AB91" s="2">
        <f>Q91-'Constant prices, 1913 borders'!Q91</f>
        <v>5.7443539815482119</v>
      </c>
      <c r="AC91" s="2">
        <f>R91-'Constant prices, 1913 borders'!R91</f>
        <v>0</v>
      </c>
      <c r="AD91" s="2">
        <f>S91-'Constant prices, 1913 borders'!S91</f>
        <v>0</v>
      </c>
      <c r="AF91">
        <f t="shared" si="1"/>
        <v>1</v>
      </c>
    </row>
    <row r="92" spans="1:32" x14ac:dyDescent="0.25">
      <c r="A92">
        <v>1885</v>
      </c>
      <c r="B92" s="6">
        <v>189.20274620385118</v>
      </c>
      <c r="C92" s="6">
        <v>2.490496959059056</v>
      </c>
      <c r="D92" s="6"/>
      <c r="E92" s="6">
        <v>2.5978795575039428</v>
      </c>
      <c r="F92" s="6">
        <v>2.602148789025418</v>
      </c>
      <c r="G92" s="6">
        <v>3.7586036333325139</v>
      </c>
      <c r="H92" s="6">
        <v>34.794299306207506</v>
      </c>
      <c r="I92" s="6"/>
      <c r="J92" s="6"/>
      <c r="K92" s="6"/>
      <c r="L92" s="6">
        <v>141.37528014248599</v>
      </c>
      <c r="M92" s="6">
        <v>3.4200024840151659</v>
      </c>
      <c r="N92" s="6"/>
      <c r="O92" s="6">
        <v>2.1069283454097505</v>
      </c>
      <c r="P92" s="6">
        <v>2.8172936900661014</v>
      </c>
      <c r="Q92" s="6">
        <v>6.6109340065070041</v>
      </c>
      <c r="R92" s="6">
        <v>40.948262328068786</v>
      </c>
      <c r="S92" s="4"/>
      <c r="U92" s="2"/>
      <c r="V92" s="2"/>
      <c r="W92" s="2">
        <f>L92-'Constant prices, 1913 borders'!L92</f>
        <v>0</v>
      </c>
      <c r="X92" s="2">
        <f>M92-'Constant prices, 1913 borders'!M92</f>
        <v>0</v>
      </c>
      <c r="Y92" s="2">
        <f>N92-'Constant prices, 1913 borders'!N92</f>
        <v>0</v>
      </c>
      <c r="Z92" s="2">
        <f>O92-'Constant prices, 1913 borders'!O92</f>
        <v>0</v>
      </c>
      <c r="AA92" s="2">
        <f>P92-'Constant prices, 1913 borders'!P92</f>
        <v>0</v>
      </c>
      <c r="AB92" s="2">
        <f>Q92-'Constant prices, 1913 borders'!Q92</f>
        <v>6.5117955099930604</v>
      </c>
      <c r="AC92" s="2">
        <f>R92-'Constant prices, 1913 borders'!R92</f>
        <v>0</v>
      </c>
      <c r="AD92" s="2">
        <f>S92-'Constant prices, 1913 borders'!S92</f>
        <v>0</v>
      </c>
      <c r="AF92">
        <f t="shared" si="1"/>
        <v>1</v>
      </c>
    </row>
    <row r="93" spans="1:32" x14ac:dyDescent="0.25">
      <c r="A93">
        <v>1886</v>
      </c>
      <c r="B93" s="6">
        <v>178.67326826343552</v>
      </c>
      <c r="C93" s="6">
        <v>2.0198517862004586</v>
      </c>
      <c r="D93" s="6"/>
      <c r="E93" s="6">
        <v>2.6053246163746495</v>
      </c>
      <c r="F93" s="6">
        <v>2.4002863211826266</v>
      </c>
      <c r="G93" s="6">
        <v>5.0488252304903609</v>
      </c>
      <c r="H93" s="6">
        <v>32.350305214820366</v>
      </c>
      <c r="I93" s="6"/>
      <c r="J93" s="6"/>
      <c r="K93" s="6"/>
      <c r="L93" s="6">
        <v>119.58639193783397</v>
      </c>
      <c r="M93" s="6">
        <v>3.3509080437937171</v>
      </c>
      <c r="N93" s="6"/>
      <c r="O93" s="6">
        <v>1.5697847613878333</v>
      </c>
      <c r="P93" s="6">
        <v>2.3444581023315423</v>
      </c>
      <c r="Q93" s="6">
        <v>7.9300169668110128</v>
      </c>
      <c r="R93" s="6">
        <v>41.887164158383442</v>
      </c>
      <c r="S93" s="4"/>
      <c r="U93" s="2"/>
      <c r="V93" s="2"/>
      <c r="W93" s="2">
        <f>L93-'Constant prices, 1913 borders'!L93</f>
        <v>0</v>
      </c>
      <c r="X93" s="2">
        <f>M93-'Constant prices, 1913 borders'!M93</f>
        <v>0</v>
      </c>
      <c r="Y93" s="2">
        <f>N93-'Constant prices, 1913 borders'!N93</f>
        <v>0</v>
      </c>
      <c r="Z93" s="2">
        <f>O93-'Constant prices, 1913 borders'!O93</f>
        <v>0</v>
      </c>
      <c r="AA93" s="2">
        <f>P93-'Constant prices, 1913 borders'!P93</f>
        <v>0</v>
      </c>
      <c r="AB93" s="2">
        <f>Q93-'Constant prices, 1913 borders'!Q93</f>
        <v>7.5963450278804547</v>
      </c>
      <c r="AC93" s="2">
        <f>R93-'Constant prices, 1913 borders'!R93</f>
        <v>0</v>
      </c>
      <c r="AD93" s="2">
        <f>S93-'Constant prices, 1913 borders'!S93</f>
        <v>0</v>
      </c>
      <c r="AF93">
        <f t="shared" si="1"/>
        <v>1</v>
      </c>
    </row>
    <row r="94" spans="1:32" x14ac:dyDescent="0.25">
      <c r="A94">
        <v>1887</v>
      </c>
      <c r="B94" s="6">
        <v>153.23975544548313</v>
      </c>
      <c r="C94" s="6">
        <v>1.7242004216237026</v>
      </c>
      <c r="D94" s="6"/>
      <c r="E94" s="6">
        <v>2.7020231565229857</v>
      </c>
      <c r="F94" s="6">
        <v>2.5054978707224214</v>
      </c>
      <c r="G94" s="6">
        <v>5.2518433773112783</v>
      </c>
      <c r="H94" s="6">
        <v>30.29627033539483</v>
      </c>
      <c r="I94" s="6"/>
      <c r="J94" s="6"/>
      <c r="K94" s="6"/>
      <c r="L94" s="6">
        <v>125.63666370002669</v>
      </c>
      <c r="M94" s="6">
        <v>2.8587714240052211</v>
      </c>
      <c r="N94" s="6"/>
      <c r="O94" s="6">
        <v>0.9941205028287059</v>
      </c>
      <c r="P94" s="6">
        <v>3.1384730992575882</v>
      </c>
      <c r="Q94" s="6">
        <v>7.9379523654537856</v>
      </c>
      <c r="R94" s="6">
        <v>38.163665811572294</v>
      </c>
      <c r="S94" s="4"/>
      <c r="U94" s="2"/>
      <c r="V94" s="2"/>
      <c r="W94" s="2">
        <f>L94-'Constant prices, 1913 borders'!L94</f>
        <v>0</v>
      </c>
      <c r="X94" s="2">
        <f>M94-'Constant prices, 1913 borders'!M94</f>
        <v>0</v>
      </c>
      <c r="Y94" s="2">
        <f>N94-'Constant prices, 1913 borders'!N94</f>
        <v>0</v>
      </c>
      <c r="Z94" s="2">
        <f>O94-'Constant prices, 1913 borders'!O94</f>
        <v>0</v>
      </c>
      <c r="AA94" s="2">
        <f>P94-'Constant prices, 1913 borders'!P94</f>
        <v>0</v>
      </c>
      <c r="AB94" s="2">
        <f>Q94-'Constant prices, 1913 borders'!Q94</f>
        <v>7.9054641565910826</v>
      </c>
      <c r="AC94" s="2">
        <f>R94-'Constant prices, 1913 borders'!R94</f>
        <v>0</v>
      </c>
      <c r="AD94" s="2">
        <f>S94-'Constant prices, 1913 borders'!S94</f>
        <v>0</v>
      </c>
      <c r="AF94">
        <f t="shared" si="1"/>
        <v>1</v>
      </c>
    </row>
    <row r="95" spans="1:32" x14ac:dyDescent="0.25">
      <c r="A95">
        <v>1888</v>
      </c>
      <c r="B95" s="6">
        <v>192.04367168320519</v>
      </c>
      <c r="C95" s="6">
        <v>1.5109519146413162</v>
      </c>
      <c r="D95" s="6"/>
      <c r="E95" s="6">
        <v>2.3847938405606204</v>
      </c>
      <c r="F95" s="6">
        <v>2.3007835831791317</v>
      </c>
      <c r="G95" s="6">
        <v>4.2346500327233381</v>
      </c>
      <c r="H95" s="6">
        <v>28.023712564474202</v>
      </c>
      <c r="I95" s="6"/>
      <c r="J95" s="6"/>
      <c r="K95" s="6"/>
      <c r="L95" s="6">
        <v>159.82759936639459</v>
      </c>
      <c r="M95" s="6">
        <v>4.4777245529288709</v>
      </c>
      <c r="N95" s="6"/>
      <c r="O95" s="6">
        <v>1.1246902887227803</v>
      </c>
      <c r="P95" s="6">
        <v>2.4161681887868842</v>
      </c>
      <c r="Q95" s="6">
        <v>9.6034853744800159</v>
      </c>
      <c r="R95" s="6">
        <v>49.522707042277787</v>
      </c>
      <c r="S95" s="4"/>
      <c r="U95" s="2"/>
      <c r="V95" s="2"/>
      <c r="W95" s="2">
        <f>L95-'Constant prices, 1913 borders'!L95</f>
        <v>0</v>
      </c>
      <c r="X95" s="2">
        <f>M95-'Constant prices, 1913 borders'!M95</f>
        <v>0</v>
      </c>
      <c r="Y95" s="2">
        <f>N95-'Constant prices, 1913 borders'!N95</f>
        <v>0</v>
      </c>
      <c r="Z95" s="2">
        <f>O95-'Constant prices, 1913 borders'!O95</f>
        <v>0</v>
      </c>
      <c r="AA95" s="2">
        <f>P95-'Constant prices, 1913 borders'!P95</f>
        <v>0</v>
      </c>
      <c r="AB95" s="2">
        <f>Q95-'Constant prices, 1913 borders'!Q95</f>
        <v>9.573956379478199</v>
      </c>
      <c r="AC95" s="2">
        <f>R95-'Constant prices, 1913 borders'!R95</f>
        <v>0</v>
      </c>
      <c r="AD95" s="2">
        <f>S95-'Constant prices, 1913 borders'!S95</f>
        <v>0</v>
      </c>
      <c r="AF95">
        <f t="shared" si="1"/>
        <v>1</v>
      </c>
    </row>
    <row r="96" spans="1:32" x14ac:dyDescent="0.25">
      <c r="A96">
        <v>1889</v>
      </c>
      <c r="B96" s="6">
        <v>187.89744078853033</v>
      </c>
      <c r="C96" s="6">
        <v>1.5905800669156926</v>
      </c>
      <c r="D96" s="6"/>
      <c r="E96" s="6">
        <v>2.4792318223618719</v>
      </c>
      <c r="F96" s="6">
        <v>2.504154276156541</v>
      </c>
      <c r="G96" s="6">
        <v>5.0368137360443992</v>
      </c>
      <c r="H96" s="6">
        <v>29.39576814248095</v>
      </c>
      <c r="I96" s="6"/>
      <c r="J96" s="6"/>
      <c r="K96" s="6"/>
      <c r="L96" s="6">
        <v>160.86442290854578</v>
      </c>
      <c r="M96" s="6">
        <v>4.3249259236900803</v>
      </c>
      <c r="N96" s="6"/>
      <c r="O96" s="6">
        <v>1.0026199634228026</v>
      </c>
      <c r="P96" s="6">
        <v>2.6175285010493652</v>
      </c>
      <c r="Q96" s="6">
        <v>10.517806181203126</v>
      </c>
      <c r="R96" s="6">
        <v>56.626423261871004</v>
      </c>
      <c r="S96" s="4"/>
      <c r="U96" s="2"/>
      <c r="V96" s="2"/>
      <c r="W96" s="2">
        <f>L96-'Constant prices, 1913 borders'!L96</f>
        <v>0</v>
      </c>
      <c r="X96" s="2">
        <f>M96-'Constant prices, 1913 borders'!M96</f>
        <v>0</v>
      </c>
      <c r="Y96" s="2">
        <f>N96-'Constant prices, 1913 borders'!N96</f>
        <v>0</v>
      </c>
      <c r="Z96" s="2">
        <f>O96-'Constant prices, 1913 borders'!O96</f>
        <v>0</v>
      </c>
      <c r="AA96" s="2">
        <f>P96-'Constant prices, 1913 borders'!P96</f>
        <v>0</v>
      </c>
      <c r="AB96" s="2">
        <f>Q96-'Constant prices, 1913 borders'!Q96</f>
        <v>10.492030960635091</v>
      </c>
      <c r="AC96" s="2">
        <f>R96-'Constant prices, 1913 borders'!R96</f>
        <v>0</v>
      </c>
      <c r="AD96" s="2">
        <f>S96-'Constant prices, 1913 borders'!S96</f>
        <v>0</v>
      </c>
      <c r="AF96">
        <f t="shared" si="1"/>
        <v>1</v>
      </c>
    </row>
    <row r="97" spans="1:32" x14ac:dyDescent="0.25">
      <c r="A97">
        <v>1890</v>
      </c>
      <c r="B97" s="6">
        <v>177.49104047030434</v>
      </c>
      <c r="C97" s="6">
        <v>1.7718216937132383</v>
      </c>
      <c r="D97" s="6"/>
      <c r="E97" s="6">
        <v>2.5269503334608916</v>
      </c>
      <c r="F97" s="6">
        <v>2.1201331795248453</v>
      </c>
      <c r="G97" s="6">
        <v>6.5367031593686251</v>
      </c>
      <c r="H97" s="6">
        <v>28.473402960346501</v>
      </c>
      <c r="I97" s="6"/>
      <c r="J97" s="6"/>
      <c r="K97" s="6"/>
      <c r="L97" s="6">
        <v>165.2153015798132</v>
      </c>
      <c r="M97" s="6">
        <v>3.4074475058253788</v>
      </c>
      <c r="N97" s="6"/>
      <c r="O97" s="6">
        <v>0.97733498769890148</v>
      </c>
      <c r="P97" s="6">
        <v>1.609759444199909</v>
      </c>
      <c r="Q97" s="6">
        <v>12.684621523039045</v>
      </c>
      <c r="R97" s="6">
        <v>56.979539175974608</v>
      </c>
      <c r="S97" s="4"/>
      <c r="U97" s="2"/>
      <c r="V97" s="2"/>
      <c r="W97" s="2">
        <f>L97-'Constant prices, 1913 borders'!L97</f>
        <v>0</v>
      </c>
      <c r="X97" s="2">
        <f>M97-'Constant prices, 1913 borders'!M97</f>
        <v>0</v>
      </c>
      <c r="Y97" s="2">
        <f>N97-'Constant prices, 1913 borders'!N97</f>
        <v>0</v>
      </c>
      <c r="Z97" s="2">
        <f>O97-'Constant prices, 1913 borders'!O97</f>
        <v>0</v>
      </c>
      <c r="AA97" s="2">
        <f>P97-'Constant prices, 1913 borders'!P97</f>
        <v>0</v>
      </c>
      <c r="AB97" s="2">
        <f>Q97-'Constant prices, 1913 borders'!Q97</f>
        <v>12.618027983885908</v>
      </c>
      <c r="AC97" s="2">
        <f>R97-'Constant prices, 1913 borders'!R97</f>
        <v>0</v>
      </c>
      <c r="AD97" s="2">
        <f>S97-'Constant prices, 1913 borders'!S97</f>
        <v>0</v>
      </c>
      <c r="AF97">
        <f t="shared" si="1"/>
        <v>1</v>
      </c>
    </row>
    <row r="98" spans="1:32" x14ac:dyDescent="0.25">
      <c r="A98">
        <v>1891</v>
      </c>
      <c r="B98" s="6">
        <v>199.44292506397889</v>
      </c>
      <c r="C98" s="6">
        <v>2.1634117512175068</v>
      </c>
      <c r="D98" s="6"/>
      <c r="E98" s="6">
        <v>3.2131844759357406</v>
      </c>
      <c r="F98" s="6">
        <v>2.6708705012389498</v>
      </c>
      <c r="G98" s="6">
        <v>7.7248435479511697</v>
      </c>
      <c r="H98" s="6">
        <v>30.345530273607487</v>
      </c>
      <c r="I98" s="6"/>
      <c r="J98" s="6"/>
      <c r="K98" s="6"/>
      <c r="L98" s="6">
        <v>223.39002100375563</v>
      </c>
      <c r="M98" s="6">
        <v>4.9990784120537377</v>
      </c>
      <c r="N98" s="6"/>
      <c r="O98" s="6">
        <v>1.7580011908373947</v>
      </c>
      <c r="P98" s="6">
        <v>5.1912254661910611</v>
      </c>
      <c r="Q98" s="6">
        <v>9.2466817294374923</v>
      </c>
      <c r="R98" s="6">
        <v>57.080142024793396</v>
      </c>
      <c r="S98" s="4"/>
      <c r="U98" s="2"/>
      <c r="V98" s="2"/>
      <c r="W98" s="2">
        <f>L98-'Constant prices, 1913 borders'!L98</f>
        <v>0</v>
      </c>
      <c r="X98" s="2">
        <f>M98-'Constant prices, 1913 borders'!M98</f>
        <v>0</v>
      </c>
      <c r="Y98" s="2">
        <f>N98-'Constant prices, 1913 borders'!N98</f>
        <v>0</v>
      </c>
      <c r="Z98" s="2">
        <f>O98-'Constant prices, 1913 borders'!O98</f>
        <v>0</v>
      </c>
      <c r="AA98" s="2">
        <f>P98-'Constant prices, 1913 borders'!P98</f>
        <v>0</v>
      </c>
      <c r="AB98" s="2">
        <f>Q98-'Constant prices, 1913 borders'!Q98</f>
        <v>9.1898983247241119</v>
      </c>
      <c r="AC98" s="2">
        <f>R98-'Constant prices, 1913 borders'!R98</f>
        <v>0</v>
      </c>
      <c r="AD98" s="2">
        <f>S98-'Constant prices, 1913 borders'!S98</f>
        <v>0</v>
      </c>
      <c r="AF98">
        <f t="shared" si="1"/>
        <v>1</v>
      </c>
    </row>
    <row r="99" spans="1:32" x14ac:dyDescent="0.25">
      <c r="A99">
        <v>1892</v>
      </c>
      <c r="B99" s="6">
        <v>166.07945399189416</v>
      </c>
      <c r="C99" s="6">
        <v>2.3966486075428772</v>
      </c>
      <c r="D99" s="6"/>
      <c r="E99" s="6">
        <v>3.9612592878684469</v>
      </c>
      <c r="F99" s="6">
        <v>4.9939349238792863</v>
      </c>
      <c r="G99" s="6">
        <v>5.1841365897509331</v>
      </c>
      <c r="H99" s="6">
        <v>33.37612567357764</v>
      </c>
      <c r="I99" s="6"/>
      <c r="J99" s="6"/>
      <c r="K99" s="6"/>
      <c r="L99" s="6">
        <v>218.5237651709711</v>
      </c>
      <c r="M99" s="6">
        <v>4.7250248324768229</v>
      </c>
      <c r="N99" s="6"/>
      <c r="O99" s="6">
        <v>1.3718151420563678</v>
      </c>
      <c r="P99" s="6">
        <v>3.0238214051005303</v>
      </c>
      <c r="Q99" s="6">
        <v>6.5592465914725233</v>
      </c>
      <c r="R99" s="6">
        <v>58.130698537604452</v>
      </c>
      <c r="S99" s="4"/>
      <c r="U99" s="2"/>
      <c r="V99" s="2"/>
      <c r="W99" s="2">
        <f>L99-'Constant prices, 1913 borders'!L99</f>
        <v>0</v>
      </c>
      <c r="X99" s="2">
        <f>M99-'Constant prices, 1913 borders'!M99</f>
        <v>0</v>
      </c>
      <c r="Y99" s="2">
        <f>N99-'Constant prices, 1913 borders'!N99</f>
        <v>0</v>
      </c>
      <c r="Z99" s="2">
        <f>O99-'Constant prices, 1913 borders'!O99</f>
        <v>0</v>
      </c>
      <c r="AA99" s="2">
        <f>P99-'Constant prices, 1913 borders'!P99</f>
        <v>0</v>
      </c>
      <c r="AB99" s="2">
        <f>Q99-'Constant prices, 1913 borders'!Q99</f>
        <v>6.5348325222734944</v>
      </c>
      <c r="AC99" s="2">
        <f>R99-'Constant prices, 1913 borders'!R99</f>
        <v>0</v>
      </c>
      <c r="AD99" s="2">
        <f>S99-'Constant prices, 1913 borders'!S99</f>
        <v>0</v>
      </c>
      <c r="AF99">
        <f t="shared" si="1"/>
        <v>1</v>
      </c>
    </row>
    <row r="100" spans="1:32" x14ac:dyDescent="0.25">
      <c r="A100">
        <v>1893</v>
      </c>
      <c r="B100" s="6">
        <v>136.25929061023211</v>
      </c>
      <c r="C100" s="6">
        <v>2.6913014123235111</v>
      </c>
      <c r="D100" s="6"/>
      <c r="E100" s="6">
        <v>2.8742689458466733</v>
      </c>
      <c r="F100" s="6">
        <v>2.77311040771407</v>
      </c>
      <c r="G100" s="6">
        <v>6.0375065031130326</v>
      </c>
      <c r="H100" s="6">
        <v>33.886296105490821</v>
      </c>
      <c r="I100" s="6"/>
      <c r="J100" s="6"/>
      <c r="K100" s="6"/>
      <c r="L100" s="6">
        <v>240.49973061191955</v>
      </c>
      <c r="M100" s="6">
        <v>3.8090543372545094</v>
      </c>
      <c r="N100" s="6"/>
      <c r="O100" s="6">
        <v>1.6059984906065867</v>
      </c>
      <c r="P100" s="6">
        <v>5.7491368989426643</v>
      </c>
      <c r="Q100" s="6">
        <v>8.5985924673226055</v>
      </c>
      <c r="R100" s="6">
        <v>57.221595611057218</v>
      </c>
      <c r="S100" s="4"/>
      <c r="U100" s="2"/>
      <c r="V100" s="2"/>
      <c r="W100" s="2">
        <f>L100-'Constant prices, 1913 borders'!L100</f>
        <v>0</v>
      </c>
      <c r="X100" s="2">
        <f>M100-'Constant prices, 1913 borders'!M100</f>
        <v>0</v>
      </c>
      <c r="Y100" s="2">
        <f>N100-'Constant prices, 1913 borders'!N100</f>
        <v>0</v>
      </c>
      <c r="Z100" s="2">
        <f>O100-'Constant prices, 1913 borders'!O100</f>
        <v>0</v>
      </c>
      <c r="AA100" s="2">
        <f>P100-'Constant prices, 1913 borders'!P100</f>
        <v>0</v>
      </c>
      <c r="AB100" s="2">
        <f>Q100-'Constant prices, 1913 borders'!Q100</f>
        <v>8.5477226283589669</v>
      </c>
      <c r="AC100" s="2">
        <f>R100-'Constant prices, 1913 borders'!R100</f>
        <v>0</v>
      </c>
      <c r="AD100" s="2">
        <f>S100-'Constant prices, 1913 borders'!S100</f>
        <v>0</v>
      </c>
      <c r="AF100">
        <f t="shared" si="1"/>
        <v>1</v>
      </c>
    </row>
    <row r="101" spans="1:32" x14ac:dyDescent="0.25">
      <c r="A101">
        <v>1894</v>
      </c>
      <c r="B101" s="6">
        <v>132.1322785366732</v>
      </c>
      <c r="C101" s="6">
        <v>2.9312624058783641</v>
      </c>
      <c r="D101" s="6"/>
      <c r="E101" s="6">
        <v>3.0569023171200773</v>
      </c>
      <c r="F101" s="6">
        <v>2.8217647770066314</v>
      </c>
      <c r="G101" s="6">
        <v>7.1506781133150525</v>
      </c>
      <c r="H101" s="6">
        <v>33.80259091923881</v>
      </c>
      <c r="I101" s="6"/>
      <c r="J101" s="6"/>
      <c r="K101" s="6"/>
      <c r="L101" s="6">
        <v>257.87930037135283</v>
      </c>
      <c r="M101" s="6">
        <v>6.7868415817780283</v>
      </c>
      <c r="N101" s="6"/>
      <c r="O101" s="6">
        <v>1.28484954351006</v>
      </c>
      <c r="P101" s="6">
        <v>3.1556178737323606</v>
      </c>
      <c r="Q101" s="6">
        <v>8.6011116511713777</v>
      </c>
      <c r="R101" s="6">
        <v>59.480569033366038</v>
      </c>
      <c r="S101" s="4"/>
      <c r="U101" s="2"/>
      <c r="V101" s="2"/>
      <c r="W101" s="2">
        <f>L101-'Constant prices, 1913 borders'!L101</f>
        <v>0</v>
      </c>
      <c r="X101" s="2">
        <f>M101-'Constant prices, 1913 borders'!M101</f>
        <v>0</v>
      </c>
      <c r="Y101" s="2">
        <f>N101-'Constant prices, 1913 borders'!N101</f>
        <v>0</v>
      </c>
      <c r="Z101" s="2">
        <f>O101-'Constant prices, 1913 borders'!O101</f>
        <v>0</v>
      </c>
      <c r="AA101" s="2">
        <f>P101-'Constant prices, 1913 borders'!P101</f>
        <v>0</v>
      </c>
      <c r="AB101" s="2">
        <f>Q101-'Constant prices, 1913 borders'!Q101</f>
        <v>8.4656166202372702</v>
      </c>
      <c r="AC101" s="2">
        <f>R101-'Constant prices, 1913 borders'!R101</f>
        <v>0</v>
      </c>
      <c r="AD101" s="2">
        <f>S101-'Constant prices, 1913 borders'!S101</f>
        <v>0</v>
      </c>
      <c r="AF101">
        <f t="shared" si="1"/>
        <v>1</v>
      </c>
    </row>
    <row r="102" spans="1:32" x14ac:dyDescent="0.25">
      <c r="A102">
        <v>1895</v>
      </c>
      <c r="B102" s="6">
        <v>141.3976226607441</v>
      </c>
      <c r="C102" s="6">
        <v>2.4909484954408203</v>
      </c>
      <c r="D102" s="6"/>
      <c r="E102" s="6">
        <v>2.5895411329921081</v>
      </c>
      <c r="F102" s="6">
        <v>1.7942155024198523</v>
      </c>
      <c r="G102" s="6">
        <v>6.9161179346992805</v>
      </c>
      <c r="H102" s="6">
        <v>35.818072419701302</v>
      </c>
      <c r="I102" s="6"/>
      <c r="J102" s="6"/>
      <c r="K102" s="6"/>
      <c r="L102" s="6">
        <v>263.57824881101379</v>
      </c>
      <c r="M102" s="6">
        <v>4.0974774495090349</v>
      </c>
      <c r="N102" s="6"/>
      <c r="O102" s="6">
        <v>1.4150498559633922</v>
      </c>
      <c r="P102" s="6">
        <v>4.4413471057283367</v>
      </c>
      <c r="Q102" s="6">
        <v>7.8893549914966279</v>
      </c>
      <c r="R102" s="6">
        <v>61.315321504802561</v>
      </c>
      <c r="S102" s="4"/>
      <c r="U102" s="2"/>
      <c r="V102" s="2"/>
      <c r="W102" s="2">
        <f>L102-'Constant prices, 1913 borders'!L102</f>
        <v>0</v>
      </c>
      <c r="X102" s="2">
        <f>M102-'Constant prices, 1913 borders'!M102</f>
        <v>0</v>
      </c>
      <c r="Y102" s="2">
        <f>N102-'Constant prices, 1913 borders'!N102</f>
        <v>0</v>
      </c>
      <c r="Z102" s="2">
        <f>O102-'Constant prices, 1913 borders'!O102</f>
        <v>0</v>
      </c>
      <c r="AA102" s="2">
        <f>P102-'Constant prices, 1913 borders'!P102</f>
        <v>0</v>
      </c>
      <c r="AB102" s="2">
        <f>Q102-'Constant prices, 1913 borders'!Q102</f>
        <v>7.8130124013027737</v>
      </c>
      <c r="AC102" s="2">
        <f>R102-'Constant prices, 1913 borders'!R102</f>
        <v>0</v>
      </c>
      <c r="AD102" s="2">
        <f>S102-'Constant prices, 1913 borders'!S102</f>
        <v>0</v>
      </c>
      <c r="AF102">
        <f t="shared" si="1"/>
        <v>1</v>
      </c>
    </row>
    <row r="103" spans="1:32" x14ac:dyDescent="0.25">
      <c r="A103">
        <v>1896</v>
      </c>
      <c r="B103" s="6">
        <v>173.71129995101802</v>
      </c>
      <c r="C103" s="6">
        <v>2.382206826200346</v>
      </c>
      <c r="D103" s="6"/>
      <c r="E103" s="6">
        <v>2.8630937429193373</v>
      </c>
      <c r="F103" s="6">
        <v>2.4349294443787319</v>
      </c>
      <c r="G103" s="6">
        <v>8.1446330342417923</v>
      </c>
      <c r="H103" s="6">
        <v>39.490151631950134</v>
      </c>
      <c r="I103" s="6"/>
      <c r="J103" s="6"/>
      <c r="K103" s="6"/>
      <c r="L103" s="6">
        <v>245.64519724137935</v>
      </c>
      <c r="M103" s="6">
        <v>5.7027294849770813</v>
      </c>
      <c r="N103" s="6"/>
      <c r="O103" s="6">
        <v>1.5637886172327065</v>
      </c>
      <c r="P103" s="6">
        <v>3.1604423097017942</v>
      </c>
      <c r="Q103" s="6">
        <v>13.452679008825603</v>
      </c>
      <c r="R103" s="6">
        <v>56.30325611315547</v>
      </c>
      <c r="S103" s="4"/>
      <c r="U103" s="2"/>
      <c r="V103" s="2"/>
      <c r="W103" s="2">
        <f>L103-'Constant prices, 1913 borders'!L103</f>
        <v>0</v>
      </c>
      <c r="X103" s="2">
        <f>M103-'Constant prices, 1913 borders'!M103</f>
        <v>0</v>
      </c>
      <c r="Y103" s="2">
        <f>N103-'Constant prices, 1913 borders'!N103</f>
        <v>0</v>
      </c>
      <c r="Z103" s="2">
        <f>O103-'Constant prices, 1913 borders'!O103</f>
        <v>0</v>
      </c>
      <c r="AA103" s="2">
        <f>P103-'Constant prices, 1913 borders'!P103</f>
        <v>0</v>
      </c>
      <c r="AB103" s="2">
        <f>Q103-'Constant prices, 1913 borders'!Q103</f>
        <v>13.404989847015393</v>
      </c>
      <c r="AC103" s="2">
        <f>R103-'Constant prices, 1913 borders'!R103</f>
        <v>0</v>
      </c>
      <c r="AD103" s="2">
        <f>S103-'Constant prices, 1913 borders'!S103</f>
        <v>0</v>
      </c>
      <c r="AF103">
        <f t="shared" si="1"/>
        <v>1</v>
      </c>
    </row>
    <row r="104" spans="1:32" x14ac:dyDescent="0.25">
      <c r="A104">
        <v>1897</v>
      </c>
      <c r="B104" s="6">
        <v>185.37234091680804</v>
      </c>
      <c r="C104" s="6">
        <v>2.414566932868452</v>
      </c>
      <c r="D104" s="6"/>
      <c r="E104" s="6">
        <v>2.7028713427513322</v>
      </c>
      <c r="F104" s="6">
        <v>2.4118938437187381</v>
      </c>
      <c r="G104" s="6">
        <v>9.4679045310758934</v>
      </c>
      <c r="H104" s="6">
        <v>38.178046260772739</v>
      </c>
      <c r="I104" s="6"/>
      <c r="J104" s="6"/>
      <c r="K104" s="6"/>
      <c r="L104" s="6">
        <v>289.84923286004073</v>
      </c>
      <c r="M104" s="6">
        <v>5.776689246950979</v>
      </c>
      <c r="N104" s="6"/>
      <c r="O104" s="6">
        <v>2.6531538045475123</v>
      </c>
      <c r="P104" s="6">
        <v>4.1495969221121651</v>
      </c>
      <c r="Q104" s="6">
        <v>17.044057104998963</v>
      </c>
      <c r="R104" s="6">
        <v>66.909025345879954</v>
      </c>
      <c r="S104" s="4"/>
      <c r="U104" s="2"/>
      <c r="V104" s="2"/>
      <c r="W104" s="2">
        <f>L104-'Constant prices, 1913 borders'!L104</f>
        <v>0</v>
      </c>
      <c r="X104" s="2">
        <f>M104-'Constant prices, 1913 borders'!M104</f>
        <v>0</v>
      </c>
      <c r="Y104" s="2">
        <f>N104-'Constant prices, 1913 borders'!N104</f>
        <v>0</v>
      </c>
      <c r="Z104" s="2">
        <f>O104-'Constant prices, 1913 borders'!O104</f>
        <v>0</v>
      </c>
      <c r="AA104" s="2">
        <f>P104-'Constant prices, 1913 borders'!P104</f>
        <v>0</v>
      </c>
      <c r="AB104" s="2">
        <f>Q104-'Constant prices, 1913 borders'!Q104</f>
        <v>16.98022965360089</v>
      </c>
      <c r="AC104" s="2">
        <f>R104-'Constant prices, 1913 borders'!R104</f>
        <v>0</v>
      </c>
      <c r="AD104" s="2">
        <f>S104-'Constant prices, 1913 borders'!S104</f>
        <v>0</v>
      </c>
      <c r="AF104">
        <f t="shared" si="1"/>
        <v>1</v>
      </c>
    </row>
    <row r="105" spans="1:32" x14ac:dyDescent="0.25">
      <c r="A105">
        <v>1898</v>
      </c>
      <c r="B105" s="6">
        <v>180.45614086706382</v>
      </c>
      <c r="C105" s="6">
        <v>2.1431635303567247</v>
      </c>
      <c r="D105" s="6"/>
      <c r="E105" s="6">
        <v>2.588060620116416</v>
      </c>
      <c r="F105" s="6">
        <v>2.2395197601756189</v>
      </c>
      <c r="G105" s="6">
        <v>11.695224622925513</v>
      </c>
      <c r="H105" s="6">
        <v>37.061743591754805</v>
      </c>
      <c r="I105" s="6"/>
      <c r="J105" s="6"/>
      <c r="K105" s="6"/>
      <c r="L105" s="6">
        <v>291.06397068965526</v>
      </c>
      <c r="M105" s="6">
        <v>6.4945048096367417</v>
      </c>
      <c r="N105" s="6"/>
      <c r="O105" s="6">
        <v>3.2045642468840185</v>
      </c>
      <c r="P105" s="6">
        <v>2.5863785369032768</v>
      </c>
      <c r="Q105" s="6">
        <v>18.186096469151174</v>
      </c>
      <c r="R105" s="6">
        <v>72.926225353748677</v>
      </c>
      <c r="S105" s="4"/>
      <c r="U105" s="2"/>
      <c r="V105" s="2"/>
      <c r="W105" s="2">
        <f>L105-'Constant prices, 1913 borders'!L105</f>
        <v>0</v>
      </c>
      <c r="X105" s="2">
        <f>M105-'Constant prices, 1913 borders'!M105</f>
        <v>0</v>
      </c>
      <c r="Y105" s="2">
        <f>N105-'Constant prices, 1913 borders'!N105</f>
        <v>0</v>
      </c>
      <c r="Z105" s="2">
        <f>O105-'Constant prices, 1913 borders'!O105</f>
        <v>0</v>
      </c>
      <c r="AA105" s="2">
        <f>P105-'Constant prices, 1913 borders'!P105</f>
        <v>0</v>
      </c>
      <c r="AB105" s="2">
        <f>Q105-'Constant prices, 1913 borders'!Q105</f>
        <v>18.090694683326952</v>
      </c>
      <c r="AC105" s="2">
        <f>R105-'Constant prices, 1913 borders'!R105</f>
        <v>0</v>
      </c>
      <c r="AD105" s="2">
        <f>S105-'Constant prices, 1913 borders'!S105</f>
        <v>0</v>
      </c>
      <c r="AF105">
        <f t="shared" si="1"/>
        <v>1</v>
      </c>
    </row>
    <row r="106" spans="1:32" x14ac:dyDescent="0.25">
      <c r="A106">
        <v>1899</v>
      </c>
      <c r="B106" s="6">
        <v>197.84362335525168</v>
      </c>
      <c r="C106" s="6">
        <v>2.6047678411498523</v>
      </c>
      <c r="D106" s="6"/>
      <c r="E106" s="6">
        <v>3.1172336978324884</v>
      </c>
      <c r="F106" s="6">
        <v>0.93597424945221419</v>
      </c>
      <c r="G106" s="6">
        <v>20.009891392505857</v>
      </c>
      <c r="H106" s="6">
        <v>37.962072660879485</v>
      </c>
      <c r="I106" s="6"/>
      <c r="J106" s="6"/>
      <c r="K106" s="6"/>
      <c r="L106" s="6">
        <v>281.97797347480116</v>
      </c>
      <c r="M106" s="6">
        <v>6.1401075077617886</v>
      </c>
      <c r="N106" s="6"/>
      <c r="O106" s="6">
        <v>4.2832830293791373</v>
      </c>
      <c r="P106" s="6">
        <v>1.2671086522921371</v>
      </c>
      <c r="Q106" s="6">
        <v>22.18370436987718</v>
      </c>
      <c r="R106" s="6">
        <v>84.466431368534487</v>
      </c>
      <c r="S106" s="4"/>
      <c r="U106" s="2"/>
      <c r="V106" s="2"/>
      <c r="W106" s="2">
        <f>L106-'Constant prices, 1913 borders'!L106</f>
        <v>0</v>
      </c>
      <c r="X106" s="2">
        <f>M106-'Constant prices, 1913 borders'!M106</f>
        <v>0</v>
      </c>
      <c r="Y106" s="2">
        <f>N106-'Constant prices, 1913 borders'!N106</f>
        <v>0</v>
      </c>
      <c r="Z106" s="2">
        <f>O106-'Constant prices, 1913 borders'!O106</f>
        <v>0</v>
      </c>
      <c r="AA106" s="2">
        <f>P106-'Constant prices, 1913 borders'!P106</f>
        <v>0</v>
      </c>
      <c r="AB106" s="2">
        <f>Q106-'Constant prices, 1913 borders'!Q106</f>
        <v>22.075868960416468</v>
      </c>
      <c r="AC106" s="2">
        <f>R106-'Constant prices, 1913 borders'!R106</f>
        <v>0</v>
      </c>
      <c r="AD106" s="2">
        <f>S106-'Constant prices, 1913 borders'!S106</f>
        <v>0</v>
      </c>
      <c r="AF106">
        <f t="shared" si="1"/>
        <v>1</v>
      </c>
    </row>
    <row r="107" spans="1:32" x14ac:dyDescent="0.25">
      <c r="A107">
        <v>1900</v>
      </c>
      <c r="B107" s="6">
        <v>223.5029558322579</v>
      </c>
      <c r="C107" s="6">
        <v>2.9824642888672646</v>
      </c>
      <c r="D107" s="6"/>
      <c r="E107" s="6">
        <v>3.3888303206501149</v>
      </c>
      <c r="F107" s="6">
        <v>0.92729423291546809</v>
      </c>
      <c r="G107" s="6">
        <v>17.088729713064215</v>
      </c>
      <c r="H107" s="6">
        <v>42.945687633529431</v>
      </c>
      <c r="I107" s="6"/>
      <c r="J107" s="6"/>
      <c r="K107" s="6"/>
      <c r="L107" s="6">
        <v>287.726842924138</v>
      </c>
      <c r="M107" s="6">
        <v>7.3406649923004448</v>
      </c>
      <c r="N107" s="6"/>
      <c r="O107" s="6">
        <v>3.3267465549337607</v>
      </c>
      <c r="P107" s="6">
        <v>1.0024486935562327</v>
      </c>
      <c r="Q107" s="6">
        <v>26.583801364794869</v>
      </c>
      <c r="R107" s="6">
        <v>86.026874154302647</v>
      </c>
      <c r="S107" s="4"/>
      <c r="U107" s="2"/>
      <c r="V107" s="2"/>
      <c r="W107" s="2">
        <f>L107-'Constant prices, 1913 borders'!L107</f>
        <v>0</v>
      </c>
      <c r="X107" s="2">
        <f>M107-'Constant prices, 1913 borders'!M107</f>
        <v>0</v>
      </c>
      <c r="Y107" s="2">
        <f>N107-'Constant prices, 1913 borders'!N107</f>
        <v>0</v>
      </c>
      <c r="Z107" s="2">
        <f>O107-'Constant prices, 1913 borders'!O107</f>
        <v>0</v>
      </c>
      <c r="AA107" s="2">
        <f>P107-'Constant prices, 1913 borders'!P107</f>
        <v>0</v>
      </c>
      <c r="AB107" s="2">
        <f>Q107-'Constant prices, 1913 borders'!Q107</f>
        <v>26.541814313902819</v>
      </c>
      <c r="AC107" s="2">
        <f>R107-'Constant prices, 1913 borders'!R107</f>
        <v>0</v>
      </c>
      <c r="AD107" s="2">
        <f>S107-'Constant prices, 1913 borders'!S107</f>
        <v>0</v>
      </c>
      <c r="AF107">
        <f t="shared" si="1"/>
        <v>1</v>
      </c>
    </row>
    <row r="108" spans="1:32" x14ac:dyDescent="0.25">
      <c r="A108">
        <v>1901</v>
      </c>
      <c r="B108" s="6">
        <v>221.64951166059069</v>
      </c>
      <c r="C108" s="6">
        <v>3.2148065728562853</v>
      </c>
      <c r="D108" s="6"/>
      <c r="E108" s="6">
        <v>4.094520399107239</v>
      </c>
      <c r="F108" s="6">
        <v>1.0162334840917679</v>
      </c>
      <c r="G108" s="6"/>
      <c r="H108" s="6">
        <v>49.279195014110535</v>
      </c>
      <c r="I108" s="6"/>
      <c r="J108" s="6"/>
      <c r="K108" s="6"/>
      <c r="L108" s="6">
        <v>215.78269575757579</v>
      </c>
      <c r="M108" s="6">
        <v>6.6709159544671364</v>
      </c>
      <c r="N108" s="6"/>
      <c r="O108" s="6">
        <v>3.4254969827645603</v>
      </c>
      <c r="P108" s="6">
        <v>3.2000686059048937</v>
      </c>
      <c r="Q108" s="6"/>
      <c r="R108" s="6">
        <v>90.949621064516123</v>
      </c>
      <c r="S108" s="4"/>
      <c r="U108" s="2"/>
      <c r="V108" s="2"/>
      <c r="W108" s="2">
        <f>L108-'Constant prices, 1913 borders'!L108</f>
        <v>0</v>
      </c>
      <c r="X108" s="2">
        <f>M108-'Constant prices, 1913 borders'!M108</f>
        <v>0</v>
      </c>
      <c r="Y108" s="2">
        <f>N108-'Constant prices, 1913 borders'!N108</f>
        <v>0</v>
      </c>
      <c r="Z108" s="2">
        <f>O108-'Constant prices, 1913 borders'!O108</f>
        <v>0</v>
      </c>
      <c r="AA108" s="2">
        <f>P108-'Constant prices, 1913 borders'!P108</f>
        <v>0</v>
      </c>
      <c r="AB108" s="2">
        <f>Q108-'Constant prices, 1913 borders'!Q108</f>
        <v>0</v>
      </c>
      <c r="AC108" s="2">
        <f>R108-'Constant prices, 1913 borders'!R108</f>
        <v>0</v>
      </c>
      <c r="AD108" s="2">
        <f>S108-'Constant prices, 1913 borders'!S108</f>
        <v>0</v>
      </c>
      <c r="AF108">
        <f t="shared" si="1"/>
        <v>0</v>
      </c>
    </row>
    <row r="109" spans="1:32" x14ac:dyDescent="0.25">
      <c r="A109">
        <v>1902</v>
      </c>
      <c r="B109" s="6">
        <v>215.3770442002849</v>
      </c>
      <c r="C109" s="6">
        <v>4.7902574231964543</v>
      </c>
      <c r="D109" s="6"/>
      <c r="E109" s="6">
        <v>4.1631230116942985</v>
      </c>
      <c r="F109" s="6">
        <v>1.3922814792599127</v>
      </c>
      <c r="G109" s="6"/>
      <c r="H109" s="6">
        <v>50.200348629207951</v>
      </c>
      <c r="I109" s="6"/>
      <c r="J109" s="6"/>
      <c r="K109" s="6"/>
      <c r="L109" s="6">
        <v>168.87113600000004</v>
      </c>
      <c r="M109" s="6">
        <v>6.1502162139682115</v>
      </c>
      <c r="N109" s="6"/>
      <c r="O109" s="6">
        <v>5.5318334191506811</v>
      </c>
      <c r="P109" s="6">
        <v>1.3988226309792788</v>
      </c>
      <c r="Q109" s="6"/>
      <c r="R109" s="6">
        <v>100.32810949048154</v>
      </c>
      <c r="S109" s="4"/>
      <c r="U109" s="2"/>
      <c r="V109" s="2"/>
      <c r="W109" s="2">
        <f>L109-'Constant prices, 1913 borders'!L109</f>
        <v>0</v>
      </c>
      <c r="X109" s="2">
        <f>M109-'Constant prices, 1913 borders'!M109</f>
        <v>0</v>
      </c>
      <c r="Y109" s="2">
        <f>N109-'Constant prices, 1913 borders'!N109</f>
        <v>0</v>
      </c>
      <c r="Z109" s="2">
        <f>O109-'Constant prices, 1913 borders'!O109</f>
        <v>0</v>
      </c>
      <c r="AA109" s="2">
        <f>P109-'Constant prices, 1913 borders'!P109</f>
        <v>0</v>
      </c>
      <c r="AB109" s="2">
        <f>Q109-'Constant prices, 1913 borders'!Q109</f>
        <v>0</v>
      </c>
      <c r="AC109" s="2">
        <f>R109-'Constant prices, 1913 borders'!R109</f>
        <v>0</v>
      </c>
      <c r="AD109" s="2">
        <f>S109-'Constant prices, 1913 borders'!S109</f>
        <v>0</v>
      </c>
      <c r="AF109">
        <f t="shared" si="1"/>
        <v>0</v>
      </c>
    </row>
    <row r="110" spans="1:32" x14ac:dyDescent="0.25">
      <c r="A110">
        <v>1903</v>
      </c>
      <c r="B110" s="6">
        <v>201.82361240635041</v>
      </c>
      <c r="C110" s="6">
        <v>4.6969963810084261</v>
      </c>
      <c r="D110" s="6"/>
      <c r="E110" s="6">
        <v>3.9898704440954846</v>
      </c>
      <c r="F110" s="6">
        <v>1.6269642110116127</v>
      </c>
      <c r="G110" s="6"/>
      <c r="H110" s="6">
        <v>58.531234420426067</v>
      </c>
      <c r="I110" s="6"/>
      <c r="J110" s="6"/>
      <c r="K110" s="6"/>
      <c r="L110" s="6">
        <v>164.44426212765958</v>
      </c>
      <c r="M110" s="6">
        <v>6.3787377662505325</v>
      </c>
      <c r="N110" s="6"/>
      <c r="O110" s="6">
        <v>4.6192077790347161</v>
      </c>
      <c r="P110" s="6">
        <v>1.4810559401211258</v>
      </c>
      <c r="Q110" s="6"/>
      <c r="R110" s="6">
        <v>99.551095909090904</v>
      </c>
      <c r="S110" s="4"/>
      <c r="U110" s="2"/>
      <c r="V110" s="2"/>
      <c r="W110" s="2">
        <f>L110-'Constant prices, 1913 borders'!L110</f>
        <v>0</v>
      </c>
      <c r="X110" s="2">
        <f>M110-'Constant prices, 1913 borders'!M110</f>
        <v>0</v>
      </c>
      <c r="Y110" s="2">
        <f>N110-'Constant prices, 1913 borders'!N110</f>
        <v>0</v>
      </c>
      <c r="Z110" s="2">
        <f>O110-'Constant prices, 1913 borders'!O110</f>
        <v>0</v>
      </c>
      <c r="AA110" s="2">
        <f>P110-'Constant prices, 1913 borders'!P110</f>
        <v>0</v>
      </c>
      <c r="AB110" s="2">
        <f>Q110-'Constant prices, 1913 borders'!Q110</f>
        <v>0</v>
      </c>
      <c r="AC110" s="2">
        <f>R110-'Constant prices, 1913 borders'!R110</f>
        <v>0</v>
      </c>
      <c r="AD110" s="2">
        <f>S110-'Constant prices, 1913 borders'!S110</f>
        <v>0</v>
      </c>
      <c r="AF110">
        <f t="shared" si="1"/>
        <v>0</v>
      </c>
    </row>
    <row r="111" spans="1:32" x14ac:dyDescent="0.25">
      <c r="A111">
        <v>1904</v>
      </c>
      <c r="B111" s="6">
        <v>198.94394892605754</v>
      </c>
      <c r="C111" s="6">
        <v>4.4616358601783563</v>
      </c>
      <c r="D111" s="6"/>
      <c r="E111" s="6">
        <v>3.7175968412871803</v>
      </c>
      <c r="F111" s="6">
        <v>1.4133747401865229</v>
      </c>
      <c r="G111" s="6"/>
      <c r="H111" s="6">
        <v>62.404587230888502</v>
      </c>
      <c r="I111" s="6"/>
      <c r="J111" s="6"/>
      <c r="K111" s="6"/>
      <c r="L111" s="6">
        <v>213.97068000000002</v>
      </c>
      <c r="M111" s="6">
        <v>6.9223095117694937</v>
      </c>
      <c r="N111" s="6"/>
      <c r="O111" s="6">
        <v>4.0611102459951356</v>
      </c>
      <c r="P111" s="6">
        <v>1.5017714103069402</v>
      </c>
      <c r="Q111" s="6"/>
      <c r="R111" s="6">
        <v>92.136340875356794</v>
      </c>
      <c r="S111" s="4"/>
      <c r="U111" s="2"/>
      <c r="V111" s="2"/>
      <c r="W111" s="2">
        <f>L111-'Constant prices, 1913 borders'!L111</f>
        <v>0</v>
      </c>
      <c r="X111" s="2">
        <f>M111-'Constant prices, 1913 borders'!M111</f>
        <v>0</v>
      </c>
      <c r="Y111" s="2">
        <f>N111-'Constant prices, 1913 borders'!N111</f>
        <v>0</v>
      </c>
      <c r="Z111" s="2">
        <f>O111-'Constant prices, 1913 borders'!O111</f>
        <v>0</v>
      </c>
      <c r="AA111" s="2">
        <f>P111-'Constant prices, 1913 borders'!P111</f>
        <v>0</v>
      </c>
      <c r="AB111" s="2">
        <f>Q111-'Constant prices, 1913 borders'!Q111</f>
        <v>0</v>
      </c>
      <c r="AC111" s="2">
        <f>R111-'Constant prices, 1913 borders'!R111</f>
        <v>0</v>
      </c>
      <c r="AD111" s="2">
        <f>S111-'Constant prices, 1913 borders'!S111</f>
        <v>0</v>
      </c>
      <c r="AF111">
        <f t="shared" si="1"/>
        <v>0</v>
      </c>
    </row>
    <row r="112" spans="1:32" x14ac:dyDescent="0.25">
      <c r="A112">
        <v>1905</v>
      </c>
      <c r="B112" s="6">
        <v>200.14357503304464</v>
      </c>
      <c r="C112" s="6">
        <v>4.5061470670001142</v>
      </c>
      <c r="D112" s="6"/>
      <c r="E112" s="6">
        <v>3.2314704832005234</v>
      </c>
      <c r="F112" s="6">
        <v>2.0684954165514515</v>
      </c>
      <c r="G112" s="6"/>
      <c r="H112" s="6">
        <v>60.491977957239548</v>
      </c>
      <c r="I112" s="6"/>
      <c r="J112" s="6"/>
      <c r="K112" s="6"/>
      <c r="L112" s="6">
        <v>233.57118945558739</v>
      </c>
      <c r="M112" s="6">
        <v>7.1352664831269923</v>
      </c>
      <c r="N112" s="6"/>
      <c r="O112" s="6">
        <v>3.6010933432092873</v>
      </c>
      <c r="P112" s="6">
        <v>1.468962937359463</v>
      </c>
      <c r="Q112" s="6"/>
      <c r="R112" s="6">
        <v>89.020830310880825</v>
      </c>
      <c r="S112" s="4"/>
      <c r="U112" s="2"/>
      <c r="V112" s="2"/>
      <c r="W112" s="2">
        <f>L112-'Constant prices, 1913 borders'!L112</f>
        <v>0</v>
      </c>
      <c r="X112" s="2">
        <f>M112-'Constant prices, 1913 borders'!M112</f>
        <v>0</v>
      </c>
      <c r="Y112" s="2">
        <f>N112-'Constant prices, 1913 borders'!N112</f>
        <v>0</v>
      </c>
      <c r="Z112" s="2">
        <f>O112-'Constant prices, 1913 borders'!O112</f>
        <v>0</v>
      </c>
      <c r="AA112" s="2">
        <f>P112-'Constant prices, 1913 borders'!P112</f>
        <v>0</v>
      </c>
      <c r="AB112" s="2">
        <f>Q112-'Constant prices, 1913 borders'!Q112</f>
        <v>0</v>
      </c>
      <c r="AC112" s="2">
        <f>R112-'Constant prices, 1913 borders'!R112</f>
        <v>0</v>
      </c>
      <c r="AD112" s="2">
        <f>S112-'Constant prices, 1913 borders'!S112</f>
        <v>0</v>
      </c>
      <c r="AF112">
        <f t="shared" si="1"/>
        <v>0</v>
      </c>
    </row>
    <row r="113" spans="1:32" x14ac:dyDescent="0.25">
      <c r="A113">
        <v>1906</v>
      </c>
      <c r="B113" s="6">
        <v>217.29126897681016</v>
      </c>
      <c r="C113" s="6">
        <v>6.1131322127357857</v>
      </c>
      <c r="D113" s="6"/>
      <c r="E113" s="6">
        <v>3.1039250693664329</v>
      </c>
      <c r="F113" s="6">
        <v>2.0356626080501217</v>
      </c>
      <c r="G113" s="6"/>
      <c r="H113" s="6">
        <v>68.920108665102305</v>
      </c>
      <c r="I113" s="6"/>
      <c r="J113" s="6"/>
      <c r="K113" s="6"/>
      <c r="L113" s="6">
        <v>261.90946622950815</v>
      </c>
      <c r="M113" s="6">
        <v>6.0579281075589471</v>
      </c>
      <c r="N113" s="6"/>
      <c r="O113" s="6">
        <v>3.3678165775862405</v>
      </c>
      <c r="P113" s="6">
        <v>1.7916277252612491</v>
      </c>
      <c r="Q113" s="6"/>
      <c r="R113" s="6">
        <v>94.847972466081416</v>
      </c>
      <c r="S113" s="4"/>
      <c r="U113" s="2"/>
      <c r="V113" s="2"/>
      <c r="W113" s="2">
        <f>L113-'Constant prices, 1913 borders'!L113</f>
        <v>0</v>
      </c>
      <c r="X113" s="2">
        <f>M113-'Constant prices, 1913 borders'!M113</f>
        <v>0</v>
      </c>
      <c r="Y113" s="2">
        <f>N113-'Constant prices, 1913 borders'!N113</f>
        <v>0</v>
      </c>
      <c r="Z113" s="2">
        <f>O113-'Constant prices, 1913 borders'!O113</f>
        <v>0</v>
      </c>
      <c r="AA113" s="2">
        <f>P113-'Constant prices, 1913 borders'!P113</f>
        <v>0</v>
      </c>
      <c r="AB113" s="2">
        <f>Q113-'Constant prices, 1913 borders'!Q113</f>
        <v>0</v>
      </c>
      <c r="AC113" s="2">
        <f>R113-'Constant prices, 1913 borders'!R113</f>
        <v>0</v>
      </c>
      <c r="AD113" s="2">
        <f>S113-'Constant prices, 1913 borders'!S113</f>
        <v>0</v>
      </c>
      <c r="AF113">
        <f t="shared" si="1"/>
        <v>0</v>
      </c>
    </row>
    <row r="114" spans="1:32" x14ac:dyDescent="0.25">
      <c r="A114">
        <v>1907</v>
      </c>
      <c r="B114" s="6">
        <v>247.96839547597315</v>
      </c>
      <c r="C114" s="6">
        <v>7.7636158473177241</v>
      </c>
      <c r="D114" s="6"/>
      <c r="E114" s="6">
        <v>2.6125703831411946</v>
      </c>
      <c r="F114" s="6">
        <v>2.0091006993690583</v>
      </c>
      <c r="G114" s="6"/>
      <c r="H114" s="6">
        <v>76.009127118882461</v>
      </c>
      <c r="I114" s="6"/>
      <c r="J114" s="6"/>
      <c r="K114" s="6"/>
      <c r="L114" s="6">
        <v>305.38042043478259</v>
      </c>
      <c r="M114" s="6">
        <v>7.2384279781830374</v>
      </c>
      <c r="N114" s="6"/>
      <c r="O114" s="6">
        <v>3.9754219023206141</v>
      </c>
      <c r="P114" s="6">
        <v>1.3948773773908669</v>
      </c>
      <c r="Q114" s="6"/>
      <c r="R114" s="6">
        <v>102.06999187935035</v>
      </c>
      <c r="S114" s="4"/>
      <c r="U114" s="2"/>
      <c r="V114" s="2"/>
      <c r="W114" s="2">
        <f>L114-'Constant prices, 1913 borders'!L114</f>
        <v>0</v>
      </c>
      <c r="X114" s="2">
        <f>M114-'Constant prices, 1913 borders'!M114</f>
        <v>0</v>
      </c>
      <c r="Y114" s="2">
        <f>N114-'Constant prices, 1913 borders'!N114</f>
        <v>0</v>
      </c>
      <c r="Z114" s="2">
        <f>O114-'Constant prices, 1913 borders'!O114</f>
        <v>0</v>
      </c>
      <c r="AA114" s="2">
        <f>P114-'Constant prices, 1913 borders'!P114</f>
        <v>0</v>
      </c>
      <c r="AB114" s="2">
        <f>Q114-'Constant prices, 1913 borders'!Q114</f>
        <v>0</v>
      </c>
      <c r="AC114" s="2">
        <f>R114-'Constant prices, 1913 borders'!R114</f>
        <v>0</v>
      </c>
      <c r="AD114" s="2">
        <f>S114-'Constant prices, 1913 borders'!S114</f>
        <v>0</v>
      </c>
      <c r="AF114">
        <f t="shared" si="1"/>
        <v>0</v>
      </c>
    </row>
    <row r="115" spans="1:32" x14ac:dyDescent="0.25">
      <c r="A115">
        <v>1908</v>
      </c>
      <c r="B115" s="6">
        <v>249.10149997941119</v>
      </c>
      <c r="C115" s="6">
        <v>6.3291115981084269</v>
      </c>
      <c r="D115" s="6"/>
      <c r="E115" s="6">
        <v>2.7842460058857053</v>
      </c>
      <c r="F115" s="6">
        <v>1.7940047824622958</v>
      </c>
      <c r="G115" s="6"/>
      <c r="H115" s="6">
        <v>79.485772194642891</v>
      </c>
      <c r="I115" s="6"/>
      <c r="J115" s="6"/>
      <c r="K115" s="6"/>
      <c r="L115" s="6">
        <v>255.91494101694917</v>
      </c>
      <c r="M115" s="6">
        <v>8.2874105859937401</v>
      </c>
      <c r="N115" s="6"/>
      <c r="O115" s="6">
        <v>4.3345913903066249</v>
      </c>
      <c r="P115" s="6">
        <v>2.7359656011542661</v>
      </c>
      <c r="Q115" s="6"/>
      <c r="R115" s="6">
        <v>89.636280150753763</v>
      </c>
      <c r="S115" s="4"/>
      <c r="U115" s="2"/>
      <c r="V115" s="2"/>
      <c r="W115" s="2">
        <f>L115-'Constant prices, 1913 borders'!L115</f>
        <v>0</v>
      </c>
      <c r="X115" s="2">
        <f>M115-'Constant prices, 1913 borders'!M115</f>
        <v>0</v>
      </c>
      <c r="Y115" s="2">
        <f>N115-'Constant prices, 1913 borders'!N115</f>
        <v>0</v>
      </c>
      <c r="Z115" s="2">
        <f>O115-'Constant prices, 1913 borders'!O115</f>
        <v>0</v>
      </c>
      <c r="AA115" s="2">
        <f>P115-'Constant prices, 1913 borders'!P115</f>
        <v>0</v>
      </c>
      <c r="AB115" s="2">
        <f>Q115-'Constant prices, 1913 borders'!Q115</f>
        <v>0</v>
      </c>
      <c r="AC115" s="2">
        <f>R115-'Constant prices, 1913 borders'!R115</f>
        <v>0</v>
      </c>
      <c r="AD115" s="2">
        <f>S115-'Constant prices, 1913 borders'!S115</f>
        <v>0</v>
      </c>
      <c r="AF115">
        <f t="shared" si="1"/>
        <v>0</v>
      </c>
    </row>
    <row r="116" spans="1:32" x14ac:dyDescent="0.25">
      <c r="A116">
        <v>1909</v>
      </c>
      <c r="B116" s="6">
        <v>259.23217790676051</v>
      </c>
      <c r="C116" s="6">
        <v>6.6509789832621067</v>
      </c>
      <c r="D116" s="6"/>
      <c r="E116" s="6">
        <v>2.8804856613782808</v>
      </c>
      <c r="F116" s="6">
        <v>2.3311129298454323</v>
      </c>
      <c r="G116" s="6"/>
      <c r="H116" s="6">
        <v>70.654223855092638</v>
      </c>
      <c r="I116" s="6"/>
      <c r="J116" s="6"/>
      <c r="K116" s="6"/>
      <c r="L116" s="6">
        <v>292.874342234957</v>
      </c>
      <c r="M116" s="6">
        <v>9.1730358141598316</v>
      </c>
      <c r="N116" s="6"/>
      <c r="O116" s="6">
        <v>3.7066251100122805</v>
      </c>
      <c r="P116" s="6">
        <v>3.271383832182658</v>
      </c>
      <c r="Q116" s="6"/>
      <c r="R116" s="6">
        <v>116.32203372302158</v>
      </c>
      <c r="S116" s="4"/>
      <c r="U116" s="2"/>
      <c r="V116" s="2"/>
      <c r="W116" s="2">
        <f>L116-'Constant prices, 1913 borders'!L116</f>
        <v>0</v>
      </c>
      <c r="X116" s="2">
        <f>M116-'Constant prices, 1913 borders'!M116</f>
        <v>0</v>
      </c>
      <c r="Y116" s="2">
        <f>N116-'Constant prices, 1913 borders'!N116</f>
        <v>0</v>
      </c>
      <c r="Z116" s="2">
        <f>O116-'Constant prices, 1913 borders'!O116</f>
        <v>0</v>
      </c>
      <c r="AA116" s="2">
        <f>P116-'Constant prices, 1913 borders'!P116</f>
        <v>0</v>
      </c>
      <c r="AB116" s="2">
        <f>Q116-'Constant prices, 1913 borders'!Q116</f>
        <v>0</v>
      </c>
      <c r="AC116" s="2">
        <f>R116-'Constant prices, 1913 borders'!R116</f>
        <v>0</v>
      </c>
      <c r="AD116" s="2">
        <f>S116-'Constant prices, 1913 borders'!S116</f>
        <v>0</v>
      </c>
      <c r="AF116">
        <f t="shared" si="1"/>
        <v>0</v>
      </c>
    </row>
    <row r="117" spans="1:32" x14ac:dyDescent="0.25">
      <c r="A117">
        <v>1910</v>
      </c>
      <c r="B117" s="6">
        <v>296.76438864963501</v>
      </c>
      <c r="C117" s="6">
        <v>8.2077554857237836</v>
      </c>
      <c r="D117" s="6"/>
      <c r="E117" s="6">
        <v>3.942542357090848</v>
      </c>
      <c r="F117" s="6">
        <v>2.0922513729542027</v>
      </c>
      <c r="G117" s="6"/>
      <c r="H117" s="6">
        <v>73.747086888918844</v>
      </c>
      <c r="I117" s="6"/>
      <c r="J117" s="6"/>
      <c r="K117" s="6"/>
      <c r="L117" s="6">
        <v>362.58155690544407</v>
      </c>
      <c r="M117" s="6">
        <v>10.140681844808578</v>
      </c>
      <c r="N117" s="6"/>
      <c r="O117" s="6">
        <v>3.8058885236250681</v>
      </c>
      <c r="P117" s="6">
        <v>5.2833227410149757</v>
      </c>
      <c r="Q117" s="6"/>
      <c r="R117" s="6">
        <v>118.02841214574897</v>
      </c>
      <c r="S117" s="4"/>
      <c r="U117" s="2"/>
      <c r="V117" s="2"/>
      <c r="W117" s="2">
        <f>L117-'Constant prices, 1913 borders'!L117</f>
        <v>0</v>
      </c>
      <c r="X117" s="2">
        <f>M117-'Constant prices, 1913 borders'!M117</f>
        <v>0</v>
      </c>
      <c r="Y117" s="2">
        <f>N117-'Constant prices, 1913 borders'!N117</f>
        <v>0</v>
      </c>
      <c r="Z117" s="2">
        <f>O117-'Constant prices, 1913 borders'!O117</f>
        <v>0</v>
      </c>
      <c r="AA117" s="2">
        <f>P117-'Constant prices, 1913 borders'!P117</f>
        <v>0</v>
      </c>
      <c r="AB117" s="2">
        <f>Q117-'Constant prices, 1913 borders'!Q117</f>
        <v>0</v>
      </c>
      <c r="AC117" s="2">
        <f>R117-'Constant prices, 1913 borders'!R117</f>
        <v>0</v>
      </c>
      <c r="AD117" s="2">
        <f>S117-'Constant prices, 1913 borders'!S117</f>
        <v>0</v>
      </c>
      <c r="AF117">
        <f t="shared" si="1"/>
        <v>0</v>
      </c>
    </row>
    <row r="118" spans="1:32" x14ac:dyDescent="0.25">
      <c r="A118">
        <v>1911</v>
      </c>
      <c r="B118" s="6">
        <v>326.36966586855567</v>
      </c>
      <c r="C118" s="6">
        <v>6.6049553961877177</v>
      </c>
      <c r="D118" s="6"/>
      <c r="E118" s="6">
        <v>4.7173902023341006</v>
      </c>
      <c r="F118" s="6">
        <v>2.6360303672898842</v>
      </c>
      <c r="G118" s="6"/>
      <c r="H118" s="6">
        <v>81.376109454683117</v>
      </c>
      <c r="I118" s="6"/>
      <c r="J118" s="6"/>
      <c r="K118" s="6"/>
      <c r="L118" s="6">
        <v>350.61688573065902</v>
      </c>
      <c r="M118" s="6">
        <v>11.079218859160006</v>
      </c>
      <c r="N118" s="6"/>
      <c r="O118" s="6">
        <v>3.5682965530549566</v>
      </c>
      <c r="P118" s="6">
        <v>4.3250286109700014</v>
      </c>
      <c r="Q118" s="6"/>
      <c r="R118" s="6">
        <v>101.26128652597401</v>
      </c>
      <c r="S118" s="4"/>
      <c r="U118" s="2"/>
      <c r="V118" s="2"/>
      <c r="W118" s="2">
        <f>L118-'Constant prices, 1913 borders'!L118</f>
        <v>0</v>
      </c>
      <c r="X118" s="2">
        <f>M118-'Constant prices, 1913 borders'!M118</f>
        <v>0</v>
      </c>
      <c r="Y118" s="2">
        <f>N118-'Constant prices, 1913 borders'!N118</f>
        <v>0</v>
      </c>
      <c r="Z118" s="2">
        <f>O118-'Constant prices, 1913 borders'!O118</f>
        <v>0</v>
      </c>
      <c r="AA118" s="2">
        <f>P118-'Constant prices, 1913 borders'!P118</f>
        <v>0</v>
      </c>
      <c r="AB118" s="2">
        <f>Q118-'Constant prices, 1913 borders'!Q118</f>
        <v>0</v>
      </c>
      <c r="AC118" s="2">
        <f>R118-'Constant prices, 1913 borders'!R118</f>
        <v>0</v>
      </c>
      <c r="AD118" s="2">
        <f>S118-'Constant prices, 1913 borders'!S118</f>
        <v>0</v>
      </c>
      <c r="AF118">
        <f t="shared" si="1"/>
        <v>0</v>
      </c>
    </row>
    <row r="119" spans="1:32" x14ac:dyDescent="0.25">
      <c r="A119">
        <v>1912</v>
      </c>
      <c r="B119" s="6">
        <v>379.15788893508886</v>
      </c>
      <c r="C119" s="6">
        <v>8.1980908364580145</v>
      </c>
      <c r="D119" s="6"/>
      <c r="E119" s="6">
        <v>4.3899235430490862</v>
      </c>
      <c r="F119" s="6">
        <v>2.9925274154074852</v>
      </c>
      <c r="G119" s="6"/>
      <c r="H119" s="6">
        <v>87.815082639591836</v>
      </c>
      <c r="I119" s="6"/>
      <c r="J119" s="6"/>
      <c r="K119" s="6"/>
      <c r="L119" s="6">
        <v>335.44165362880881</v>
      </c>
      <c r="M119" s="6">
        <v>9.2946933462220809</v>
      </c>
      <c r="N119" s="6"/>
      <c r="O119" s="6">
        <v>3.3552765506111366</v>
      </c>
      <c r="P119" s="6">
        <v>4.3334185708843052</v>
      </c>
      <c r="Q119" s="6"/>
      <c r="R119" s="6">
        <v>116.943375</v>
      </c>
      <c r="S119" s="4"/>
      <c r="U119" s="2"/>
      <c r="V119" s="2"/>
      <c r="W119" s="2">
        <f>L119-'Constant prices, 1913 borders'!L119</f>
        <v>0</v>
      </c>
      <c r="X119" s="2">
        <f>M119-'Constant prices, 1913 borders'!M119</f>
        <v>0</v>
      </c>
      <c r="Y119" s="2">
        <f>N119-'Constant prices, 1913 borders'!N119</f>
        <v>0</v>
      </c>
      <c r="Z119" s="2">
        <f>O119-'Constant prices, 1913 borders'!O119</f>
        <v>0</v>
      </c>
      <c r="AA119" s="2">
        <f>P119-'Constant prices, 1913 borders'!P119</f>
        <v>0</v>
      </c>
      <c r="AB119" s="2">
        <f>Q119-'Constant prices, 1913 borders'!Q119</f>
        <v>0</v>
      </c>
      <c r="AC119" s="2">
        <f>R119-'Constant prices, 1913 borders'!R119</f>
        <v>0</v>
      </c>
      <c r="AD119" s="2">
        <f>S119-'Constant prices, 1913 borders'!S119</f>
        <v>0</v>
      </c>
      <c r="AF119">
        <f t="shared" si="1"/>
        <v>0</v>
      </c>
    </row>
    <row r="120" spans="1:32" x14ac:dyDescent="0.25">
      <c r="A120">
        <v>1913</v>
      </c>
      <c r="B120" s="6">
        <v>373.6906278688524</v>
      </c>
      <c r="C120" s="6">
        <v>8.2046469536082256</v>
      </c>
      <c r="D120" s="6"/>
      <c r="E120" s="6">
        <v>5.1612778689315713</v>
      </c>
      <c r="F120" s="6">
        <v>3.7771475655901132</v>
      </c>
      <c r="G120" s="6"/>
      <c r="H120" s="6">
        <v>113.32420999999999</v>
      </c>
      <c r="I120" s="6"/>
      <c r="J120" s="6"/>
      <c r="K120" s="6"/>
      <c r="L120" s="6">
        <v>366.03</v>
      </c>
      <c r="M120" s="6">
        <v>11.751643510594711</v>
      </c>
      <c r="N120" s="6"/>
      <c r="O120" s="6">
        <v>5.2877135411639813</v>
      </c>
      <c r="P120" s="6">
        <v>5.1225821528009003</v>
      </c>
      <c r="Q120" s="6"/>
      <c r="R120" s="6">
        <v>111.86509999999998</v>
      </c>
      <c r="S120" s="4"/>
      <c r="U120" s="2"/>
      <c r="V120" s="2"/>
      <c r="W120" s="2">
        <f>L120-'Constant prices, 1913 borders'!L120</f>
        <v>0</v>
      </c>
      <c r="X120" s="2">
        <f>M120-'Constant prices, 1913 borders'!M120</f>
        <v>0</v>
      </c>
      <c r="Y120" s="2">
        <f>N120-'Constant prices, 1913 borders'!N120</f>
        <v>0</v>
      </c>
      <c r="Z120" s="2">
        <f>O120-'Constant prices, 1913 borders'!O120</f>
        <v>0</v>
      </c>
      <c r="AA120" s="2">
        <f>P120-'Constant prices, 1913 borders'!P120</f>
        <v>0</v>
      </c>
      <c r="AB120" s="2">
        <f>Q120-'Constant prices, 1913 borders'!Q120</f>
        <v>0</v>
      </c>
      <c r="AC120" s="2">
        <f>R120-'Constant prices, 1913 borders'!R120</f>
        <v>0</v>
      </c>
      <c r="AD120" s="2">
        <f>S120-'Constant prices, 1913 borders'!S120</f>
        <v>0</v>
      </c>
      <c r="AF120">
        <f t="shared" si="1"/>
        <v>0</v>
      </c>
    </row>
    <row r="121" spans="1:32" x14ac:dyDescent="0.25">
      <c r="A121">
        <v>1914</v>
      </c>
      <c r="B121" s="6">
        <v>339.55529762968933</v>
      </c>
      <c r="C121" s="6">
        <v>8.6498304933201595</v>
      </c>
      <c r="D121" s="6"/>
      <c r="E121" s="6">
        <v>4.6710522024379229</v>
      </c>
      <c r="F121" s="6">
        <v>3.9278026349196948</v>
      </c>
      <c r="G121" s="6"/>
      <c r="H121" s="6">
        <v>127.8333347848268</v>
      </c>
      <c r="I121" s="6"/>
      <c r="J121" s="6"/>
      <c r="K121" s="6"/>
      <c r="L121" s="6">
        <v>315.05837553191486</v>
      </c>
      <c r="M121" s="6">
        <v>12.826032629144956</v>
      </c>
      <c r="N121" s="6"/>
      <c r="O121" s="6">
        <v>5.4954863750470713</v>
      </c>
      <c r="P121" s="6">
        <v>5.1946351444778962</v>
      </c>
      <c r="Q121" s="6"/>
      <c r="R121" s="6">
        <v>127.03667123795404</v>
      </c>
      <c r="S121" s="4"/>
      <c r="U121" s="2"/>
      <c r="V121" s="2"/>
      <c r="W121" s="2">
        <f>L121-'Constant prices, 1913 borders'!L121</f>
        <v>0</v>
      </c>
      <c r="X121" s="2">
        <f>M121-'Constant prices, 1913 borders'!M121</f>
        <v>0</v>
      </c>
      <c r="Y121" s="2">
        <f>N121-'Constant prices, 1913 borders'!N121</f>
        <v>0</v>
      </c>
      <c r="Z121" s="2">
        <f>O121-'Constant prices, 1913 borders'!O121</f>
        <v>0</v>
      </c>
      <c r="AA121" s="2">
        <f>P121-'Constant prices, 1913 borders'!P121</f>
        <v>0</v>
      </c>
      <c r="AB121" s="2">
        <f>Q121-'Constant prices, 1913 borders'!Q121</f>
        <v>0</v>
      </c>
      <c r="AC121" s="2">
        <f>R121-'Constant prices, 1913 borders'!R121</f>
        <v>0</v>
      </c>
      <c r="AD121" s="2">
        <f>S121-'Constant prices, 1913 borders'!S121</f>
        <v>0</v>
      </c>
      <c r="AF121">
        <f t="shared" si="1"/>
        <v>0</v>
      </c>
    </row>
    <row r="122" spans="1:32" x14ac:dyDescent="0.25">
      <c r="A122">
        <v>1915</v>
      </c>
      <c r="B122" s="6">
        <v>275.19496642673516</v>
      </c>
      <c r="C122" s="6">
        <v>3.894528557529378</v>
      </c>
      <c r="D122" s="6"/>
      <c r="E122" s="6">
        <v>1.9581039956511952</v>
      </c>
      <c r="F122" s="6">
        <v>1.8050253658887208</v>
      </c>
      <c r="G122" s="6"/>
      <c r="H122" s="6">
        <v>93.029717582022599</v>
      </c>
      <c r="I122" s="6"/>
      <c r="J122" s="6"/>
      <c r="K122" s="6"/>
      <c r="L122" s="6">
        <v>305.86275462770897</v>
      </c>
      <c r="M122" s="6">
        <v>10.796675662288372</v>
      </c>
      <c r="N122" s="6"/>
      <c r="O122" s="6">
        <v>5.713519231804022</v>
      </c>
      <c r="P122" s="6">
        <v>5.1644449256318428</v>
      </c>
      <c r="Q122" s="6"/>
      <c r="R122" s="6">
        <v>130.00554247027088</v>
      </c>
      <c r="S122" s="4"/>
      <c r="U122" s="2"/>
      <c r="V122" s="2"/>
      <c r="W122" s="2">
        <f>L122-'Constant prices, 1913 borders'!L122</f>
        <v>0</v>
      </c>
      <c r="X122" s="2">
        <f>M122-'Constant prices, 1913 borders'!M122</f>
        <v>0</v>
      </c>
      <c r="Y122" s="2">
        <f>N122-'Constant prices, 1913 borders'!N122</f>
        <v>0</v>
      </c>
      <c r="Z122" s="2">
        <f>O122-'Constant prices, 1913 borders'!O122</f>
        <v>0</v>
      </c>
      <c r="AA122" s="2">
        <f>P122-'Constant prices, 1913 borders'!P122</f>
        <v>0</v>
      </c>
      <c r="AB122" s="2">
        <f>Q122-'Constant prices, 1913 borders'!Q122</f>
        <v>0</v>
      </c>
      <c r="AC122" s="2">
        <f>R122-'Constant prices, 1913 borders'!R122</f>
        <v>0</v>
      </c>
      <c r="AD122" s="2">
        <f>S122-'Constant prices, 1913 borders'!S122</f>
        <v>0</v>
      </c>
      <c r="AF122">
        <f t="shared" si="1"/>
        <v>0</v>
      </c>
    </row>
    <row r="123" spans="1:32" x14ac:dyDescent="0.25">
      <c r="A123">
        <v>1916</v>
      </c>
      <c r="B123" s="6">
        <v>310.46236936082471</v>
      </c>
      <c r="C123" s="6">
        <v>3.4966522651802627</v>
      </c>
      <c r="D123" s="6"/>
      <c r="E123" s="6">
        <v>2.0380891410248467</v>
      </c>
      <c r="F123" s="6">
        <v>1.9519676957676724</v>
      </c>
      <c r="G123" s="6"/>
      <c r="H123" s="6">
        <v>88.54769621664235</v>
      </c>
      <c r="I123" s="6"/>
      <c r="J123" s="6"/>
      <c r="K123" s="6"/>
      <c r="L123" s="6">
        <v>268.71429759468123</v>
      </c>
      <c r="M123" s="6">
        <v>12.85867994657969</v>
      </c>
      <c r="N123" s="6"/>
      <c r="O123" s="6">
        <v>7.4828561723913589</v>
      </c>
      <c r="P123" s="6">
        <v>5.9155339834358234</v>
      </c>
      <c r="Q123" s="6"/>
      <c r="R123" s="6">
        <v>117.45326839879934</v>
      </c>
      <c r="S123" s="4"/>
      <c r="U123" s="2"/>
      <c r="V123" s="2"/>
      <c r="W123" s="2">
        <f>L123-'Constant prices, 1913 borders'!L123</f>
        <v>0</v>
      </c>
      <c r="X123" s="2">
        <f>M123-'Constant prices, 1913 borders'!M123</f>
        <v>0</v>
      </c>
      <c r="Y123" s="2">
        <f>N123-'Constant prices, 1913 borders'!N123</f>
        <v>0</v>
      </c>
      <c r="Z123" s="2">
        <f>O123-'Constant prices, 1913 borders'!O123</f>
        <v>0</v>
      </c>
      <c r="AA123" s="2">
        <f>P123-'Constant prices, 1913 borders'!P123</f>
        <v>0</v>
      </c>
      <c r="AB123" s="2">
        <f>Q123-'Constant prices, 1913 borders'!Q123</f>
        <v>0</v>
      </c>
      <c r="AC123" s="2">
        <f>R123-'Constant prices, 1913 borders'!R123</f>
        <v>0</v>
      </c>
      <c r="AD123" s="2">
        <f>S123-'Constant prices, 1913 borders'!S123</f>
        <v>0</v>
      </c>
      <c r="AF123">
        <f t="shared" si="1"/>
        <v>0</v>
      </c>
    </row>
    <row r="124" spans="1:32" x14ac:dyDescent="0.25">
      <c r="A124">
        <v>1917</v>
      </c>
      <c r="B124" s="6">
        <v>295.04936090121316</v>
      </c>
      <c r="C124" s="6">
        <v>2.6864092576868175</v>
      </c>
      <c r="D124" s="6"/>
      <c r="E124" s="6">
        <v>1.5285367346100001</v>
      </c>
      <c r="F124" s="6">
        <v>1.4295865640845096</v>
      </c>
      <c r="G124" s="6"/>
      <c r="H124" s="6">
        <v>47.698330680973307</v>
      </c>
      <c r="I124" s="6"/>
      <c r="J124" s="6"/>
      <c r="K124" s="6"/>
      <c r="L124" s="6">
        <v>208.78034431980208</v>
      </c>
      <c r="M124" s="6">
        <v>13.045130662220259</v>
      </c>
      <c r="N124" s="6"/>
      <c r="O124" s="6">
        <v>7.0569049990782675</v>
      </c>
      <c r="P124" s="6">
        <v>5.7655719483683709</v>
      </c>
      <c r="Q124" s="6"/>
      <c r="R124" s="6">
        <v>96.1705869901932</v>
      </c>
      <c r="S124" s="4"/>
      <c r="U124" s="2"/>
      <c r="V124" s="2"/>
      <c r="W124" s="2">
        <f>L124-'Constant prices, 1913 borders'!L124</f>
        <v>0</v>
      </c>
      <c r="X124" s="2">
        <f>M124-'Constant prices, 1913 borders'!M124</f>
        <v>0</v>
      </c>
      <c r="Y124" s="2">
        <f>N124-'Constant prices, 1913 borders'!N124</f>
        <v>0</v>
      </c>
      <c r="Z124" s="2">
        <f>O124-'Constant prices, 1913 borders'!O124</f>
        <v>0</v>
      </c>
      <c r="AA124" s="2">
        <f>P124-'Constant prices, 1913 borders'!P124</f>
        <v>0</v>
      </c>
      <c r="AB124" s="2">
        <f>Q124-'Constant prices, 1913 borders'!Q124</f>
        <v>0</v>
      </c>
      <c r="AC124" s="2">
        <f>R124-'Constant prices, 1913 borders'!R124</f>
        <v>0</v>
      </c>
      <c r="AD124" s="2">
        <f>S124-'Constant prices, 1913 borders'!S124</f>
        <v>0</v>
      </c>
      <c r="AF124">
        <f t="shared" si="1"/>
        <v>0</v>
      </c>
    </row>
    <row r="125" spans="1:32" x14ac:dyDescent="0.25">
      <c r="A125">
        <v>1918</v>
      </c>
      <c r="B125" s="6">
        <v>248.9275546646341</v>
      </c>
      <c r="C125" s="6">
        <v>4.3141719405031891</v>
      </c>
      <c r="D125" s="6"/>
      <c r="E125" s="6">
        <v>2.7552052180785784</v>
      </c>
      <c r="F125" s="6">
        <v>2.0140225483358938</v>
      </c>
      <c r="G125" s="6"/>
      <c r="H125" s="6">
        <v>56.5557492099041</v>
      </c>
      <c r="I125" s="6"/>
      <c r="J125" s="6"/>
      <c r="K125" s="6"/>
      <c r="L125" s="6">
        <v>235.53123611298926</v>
      </c>
      <c r="M125" s="6">
        <v>8.8257453358397608</v>
      </c>
      <c r="N125" s="6"/>
      <c r="O125" s="6">
        <v>7.53425925733863</v>
      </c>
      <c r="P125" s="6">
        <v>5.2613246928479711</v>
      </c>
      <c r="Q125" s="6"/>
      <c r="R125" s="6">
        <v>85.483743204499518</v>
      </c>
      <c r="S125" s="4"/>
      <c r="U125" s="2"/>
      <c r="V125" s="2"/>
      <c r="W125" s="2">
        <f>L125-'Constant prices, 1913 borders'!L125</f>
        <v>0</v>
      </c>
      <c r="X125" s="2">
        <f>M125-'Constant prices, 1913 borders'!M125</f>
        <v>0</v>
      </c>
      <c r="Y125" s="2">
        <f>N125-'Constant prices, 1913 borders'!N125</f>
        <v>0</v>
      </c>
      <c r="Z125" s="2">
        <f>O125-'Constant prices, 1913 borders'!O125</f>
        <v>0</v>
      </c>
      <c r="AA125" s="2">
        <f>P125-'Constant prices, 1913 borders'!P125</f>
        <v>0</v>
      </c>
      <c r="AB125" s="2">
        <f>Q125-'Constant prices, 1913 borders'!Q125</f>
        <v>0</v>
      </c>
      <c r="AC125" s="2">
        <f>R125-'Constant prices, 1913 borders'!R125</f>
        <v>0</v>
      </c>
      <c r="AD125" s="2">
        <f>S125-'Constant prices, 1913 borders'!S125</f>
        <v>0</v>
      </c>
      <c r="AF125">
        <f t="shared" si="1"/>
        <v>0</v>
      </c>
    </row>
    <row r="126" spans="1:32" x14ac:dyDescent="0.25">
      <c r="A126">
        <v>1919</v>
      </c>
      <c r="B126" s="6">
        <v>269.29686902013424</v>
      </c>
      <c r="C126" s="6">
        <v>2.5665691277137728</v>
      </c>
      <c r="D126" s="6"/>
      <c r="E126" s="6">
        <v>1.6925968152742523</v>
      </c>
      <c r="F126" s="6">
        <v>1.1336235123368097</v>
      </c>
      <c r="G126" s="6"/>
      <c r="H126" s="6">
        <v>62.280435182451328</v>
      </c>
      <c r="I126" s="6"/>
      <c r="J126" s="6"/>
      <c r="K126" s="6"/>
      <c r="L126" s="6">
        <v>288.90779695518245</v>
      </c>
      <c r="M126" s="6">
        <v>7.759616520155217</v>
      </c>
      <c r="N126" s="6"/>
      <c r="O126" s="6">
        <v>2.3201465241474759</v>
      </c>
      <c r="P126" s="6">
        <v>2.7961493337153782</v>
      </c>
      <c r="Q126" s="6"/>
      <c r="R126" s="6">
        <v>157.33150587565314</v>
      </c>
      <c r="S126" s="4"/>
      <c r="U126" s="2"/>
      <c r="V126" s="2"/>
      <c r="W126" s="2">
        <f>L126-'Constant prices, 1913 borders'!L126</f>
        <v>0</v>
      </c>
      <c r="X126" s="2">
        <f>M126-'Constant prices, 1913 borders'!M126</f>
        <v>0</v>
      </c>
      <c r="Y126" s="2">
        <f>N126-'Constant prices, 1913 borders'!N126</f>
        <v>0</v>
      </c>
      <c r="Z126" s="2">
        <f>O126-'Constant prices, 1913 borders'!O126</f>
        <v>0</v>
      </c>
      <c r="AA126" s="2">
        <f>P126-'Constant prices, 1913 borders'!P126</f>
        <v>0</v>
      </c>
      <c r="AB126" s="2">
        <f>Q126-'Constant prices, 1913 borders'!Q126</f>
        <v>0</v>
      </c>
      <c r="AC126" s="2">
        <f>R126-'Constant prices, 1913 borders'!R126</f>
        <v>0</v>
      </c>
      <c r="AD126" s="2">
        <f>S126-'Constant prices, 1913 borders'!S126</f>
        <v>0</v>
      </c>
      <c r="AF126">
        <f t="shared" si="1"/>
        <v>0</v>
      </c>
    </row>
    <row r="127" spans="1:32" x14ac:dyDescent="0.25">
      <c r="A127">
        <v>1920</v>
      </c>
      <c r="B127" s="6">
        <v>252.07437042056068</v>
      </c>
      <c r="C127" s="6">
        <v>2.9725634828383094</v>
      </c>
      <c r="D127" s="6"/>
      <c r="E127" s="6">
        <v>2.532856539642625</v>
      </c>
      <c r="F127" s="6">
        <v>1.9346224446090485</v>
      </c>
      <c r="G127" s="6"/>
      <c r="H127" s="6">
        <v>148.46069732214303</v>
      </c>
      <c r="I127" s="6"/>
      <c r="J127" s="6"/>
      <c r="K127" s="6"/>
      <c r="L127" s="6">
        <v>378.76788105891791</v>
      </c>
      <c r="M127" s="6">
        <v>7.1047432517151448</v>
      </c>
      <c r="N127" s="6"/>
      <c r="O127" s="6">
        <v>3.0305680024716608</v>
      </c>
      <c r="P127" s="6">
        <v>3.0737133080928989</v>
      </c>
      <c r="Q127" s="6"/>
      <c r="R127" s="6">
        <v>137.26495445276095</v>
      </c>
      <c r="S127" s="4"/>
      <c r="U127" s="2"/>
      <c r="V127" s="2"/>
      <c r="W127" s="2">
        <f>L127-'Constant prices, 1913 borders'!L127</f>
        <v>0</v>
      </c>
      <c r="X127" s="2">
        <f>M127-'Constant prices, 1913 borders'!M127</f>
        <v>0</v>
      </c>
      <c r="Y127" s="2">
        <f>N127-'Constant prices, 1913 borders'!N127</f>
        <v>0</v>
      </c>
      <c r="Z127" s="2">
        <f>O127-'Constant prices, 1913 borders'!O127</f>
        <v>0</v>
      </c>
      <c r="AA127" s="2">
        <f>P127-'Constant prices, 1913 borders'!P127</f>
        <v>0</v>
      </c>
      <c r="AB127" s="2">
        <f>Q127-'Constant prices, 1913 borders'!Q127</f>
        <v>0</v>
      </c>
      <c r="AC127" s="2">
        <f>R127-'Constant prices, 1913 borders'!R127</f>
        <v>0</v>
      </c>
      <c r="AD127" s="2">
        <f>S127-'Constant prices, 1913 borders'!S127</f>
        <v>0</v>
      </c>
      <c r="AF127">
        <f t="shared" si="1"/>
        <v>0</v>
      </c>
    </row>
    <row r="128" spans="1:32" x14ac:dyDescent="0.25">
      <c r="A128">
        <v>1921</v>
      </c>
      <c r="B128" s="6">
        <v>244.34016599999995</v>
      </c>
      <c r="C128" s="6">
        <v>3.8271965234397323</v>
      </c>
      <c r="D128" s="6"/>
      <c r="E128" s="6">
        <v>3.0515536002523538</v>
      </c>
      <c r="F128" s="6">
        <v>2.6111370118294315</v>
      </c>
      <c r="G128" s="6"/>
      <c r="H128" s="6">
        <v>150.56504941927847</v>
      </c>
      <c r="I128" s="6"/>
      <c r="J128" s="6"/>
      <c r="K128" s="6"/>
      <c r="L128" s="6">
        <v>427.03369719121088</v>
      </c>
      <c r="M128" s="6">
        <v>7.7271477205505779</v>
      </c>
      <c r="N128" s="6"/>
      <c r="O128" s="6">
        <v>3.2707814382996214</v>
      </c>
      <c r="P128" s="6">
        <v>3.3816149795273667</v>
      </c>
      <c r="Q128" s="6"/>
      <c r="R128" s="6">
        <v>143.21591756610857</v>
      </c>
      <c r="S128" s="4"/>
      <c r="U128" s="2"/>
      <c r="V128" s="2"/>
      <c r="W128" s="2">
        <f>L128-'Constant prices, 1913 borders'!L128</f>
        <v>0</v>
      </c>
      <c r="X128" s="2">
        <f>M128-'Constant prices, 1913 borders'!M128</f>
        <v>0</v>
      </c>
      <c r="Y128" s="2">
        <f>N128-'Constant prices, 1913 borders'!N128</f>
        <v>0</v>
      </c>
      <c r="Z128" s="2">
        <f>O128-'Constant prices, 1913 borders'!O128</f>
        <v>0</v>
      </c>
      <c r="AA128" s="2">
        <f>P128-'Constant prices, 1913 borders'!P128</f>
        <v>0</v>
      </c>
      <c r="AB128" s="2">
        <f>Q128-'Constant prices, 1913 borders'!Q128</f>
        <v>0</v>
      </c>
      <c r="AC128" s="2">
        <f>R128-'Constant prices, 1913 borders'!R128</f>
        <v>0</v>
      </c>
      <c r="AD128" s="2">
        <f>S128-'Constant prices, 1913 borders'!S128</f>
        <v>0</v>
      </c>
      <c r="AF128">
        <f t="shared" si="1"/>
        <v>0</v>
      </c>
    </row>
    <row r="129" spans="1:32" x14ac:dyDescent="0.25">
      <c r="A129">
        <v>1922</v>
      </c>
      <c r="B129" s="6">
        <v>300.27276480712163</v>
      </c>
      <c r="C129" s="6">
        <v>7.0041873081386719</v>
      </c>
      <c r="D129" s="6"/>
      <c r="E129" s="6">
        <v>4.2243175677446887</v>
      </c>
      <c r="F129" s="6">
        <v>3.3217932560758601</v>
      </c>
      <c r="G129" s="6"/>
      <c r="H129" s="6">
        <v>158.41181019141791</v>
      </c>
      <c r="I129" s="6"/>
      <c r="J129" s="6"/>
      <c r="K129" s="6"/>
      <c r="L129" s="6">
        <v>384.49289085418957</v>
      </c>
      <c r="M129" s="6">
        <v>16.140428213715005</v>
      </c>
      <c r="N129" s="6"/>
      <c r="O129" s="6">
        <v>3.5103738303576235</v>
      </c>
      <c r="P129" s="6">
        <v>5.4125457073347985</v>
      </c>
      <c r="Q129" s="6"/>
      <c r="R129" s="6">
        <v>181.74748357663591</v>
      </c>
      <c r="S129" s="4"/>
      <c r="T129" s="2"/>
      <c r="U129" s="2"/>
      <c r="V129" s="2"/>
      <c r="W129" s="2">
        <f>L129-'Constant prices, 1913 borders'!L129</f>
        <v>0</v>
      </c>
      <c r="X129" s="2">
        <f>M129-'Constant prices, 1913 borders'!M129</f>
        <v>0</v>
      </c>
      <c r="Y129" s="2">
        <f>N129-'Constant prices, 1913 borders'!N129</f>
        <v>0</v>
      </c>
      <c r="Z129" s="2">
        <f>O129-'Constant prices, 1913 borders'!O129</f>
        <v>0</v>
      </c>
      <c r="AA129" s="2">
        <f>P129-'Constant prices, 1913 borders'!P129</f>
        <v>0</v>
      </c>
      <c r="AB129" s="2">
        <f>Q129-'Constant prices, 1913 borders'!Q129</f>
        <v>0</v>
      </c>
      <c r="AC129" s="2">
        <f>R129-'Constant prices, 1913 borders'!R129</f>
        <v>0</v>
      </c>
      <c r="AD129" s="2">
        <f>S129-'Constant prices, 1913 borders'!S129</f>
        <v>0</v>
      </c>
      <c r="AF129">
        <f t="shared" si="1"/>
        <v>0</v>
      </c>
    </row>
    <row r="130" spans="1:32" x14ac:dyDescent="0.25">
      <c r="A130">
        <v>1923</v>
      </c>
      <c r="B130" s="6">
        <v>349.59142564991333</v>
      </c>
      <c r="C130" s="6">
        <v>7.8633642367923589</v>
      </c>
      <c r="D130" s="6"/>
      <c r="E130" s="6">
        <v>3.9421928388283392</v>
      </c>
      <c r="F130" s="6">
        <v>3.1285658009146422</v>
      </c>
      <c r="G130" s="6"/>
      <c r="H130" s="6">
        <v>204.16709318355529</v>
      </c>
      <c r="I130" s="6"/>
      <c r="J130" s="6"/>
      <c r="K130" s="6"/>
      <c r="L130" s="6">
        <v>368.05879914594755</v>
      </c>
      <c r="M130" s="6">
        <v>13.397124859827226</v>
      </c>
      <c r="N130" s="6"/>
      <c r="O130" s="6">
        <v>3.7166994106909135</v>
      </c>
      <c r="P130" s="6">
        <v>3.961989299765833</v>
      </c>
      <c r="Q130" s="6"/>
      <c r="R130" s="6">
        <v>158.94351823029211</v>
      </c>
      <c r="S130" s="4"/>
      <c r="U130" s="2"/>
      <c r="V130" s="2"/>
      <c r="W130" s="2">
        <f>L130-'Constant prices, 1913 borders'!L130</f>
        <v>0</v>
      </c>
      <c r="X130" s="2">
        <f>M130-'Constant prices, 1913 borders'!M130</f>
        <v>0</v>
      </c>
      <c r="Y130" s="2">
        <f>N130-'Constant prices, 1913 borders'!N130</f>
        <v>0</v>
      </c>
      <c r="Z130" s="2">
        <f>O130-'Constant prices, 1913 borders'!O130</f>
        <v>0</v>
      </c>
      <c r="AA130" s="2">
        <f>P130-'Constant prices, 1913 borders'!P130</f>
        <v>0</v>
      </c>
      <c r="AB130" s="2">
        <f>Q130-'Constant prices, 1913 borders'!Q130</f>
        <v>0</v>
      </c>
      <c r="AC130" s="2">
        <f>R130-'Constant prices, 1913 borders'!R130</f>
        <v>0</v>
      </c>
      <c r="AD130" s="2">
        <f>S130-'Constant prices, 1913 borders'!S130</f>
        <v>0</v>
      </c>
      <c r="AF130">
        <f t="shared" si="1"/>
        <v>0</v>
      </c>
    </row>
    <row r="131" spans="1:32" x14ac:dyDescent="0.25">
      <c r="A131">
        <v>1924</v>
      </c>
      <c r="B131" s="6">
        <v>439.53591284916183</v>
      </c>
      <c r="C131" s="6">
        <v>8.8277414950575483</v>
      </c>
      <c r="D131" s="6"/>
      <c r="E131" s="6">
        <v>5.3894952026908376</v>
      </c>
      <c r="F131" s="6">
        <v>3.6312328851265891</v>
      </c>
      <c r="G131" s="6"/>
      <c r="H131" s="6">
        <v>227.18378800213625</v>
      </c>
      <c r="I131" s="6"/>
      <c r="J131" s="6"/>
      <c r="K131" s="6"/>
      <c r="L131" s="6">
        <v>326.09027102797808</v>
      </c>
      <c r="M131" s="6">
        <v>12.451405167888362</v>
      </c>
      <c r="N131" s="6"/>
      <c r="O131" s="6">
        <v>3.7114154008113358</v>
      </c>
      <c r="P131" s="6">
        <v>6.8735885409457707</v>
      </c>
      <c r="Q131" s="6"/>
      <c r="R131" s="6">
        <v>159.74666949829049</v>
      </c>
      <c r="S131" s="4"/>
      <c r="U131" s="2"/>
      <c r="V131" s="2"/>
      <c r="W131" s="2">
        <f>L131-'Constant prices, 1913 borders'!L131</f>
        <v>0</v>
      </c>
      <c r="X131" s="2">
        <f>M131-'Constant prices, 1913 borders'!M131</f>
        <v>0</v>
      </c>
      <c r="Y131" s="2">
        <f>N131-'Constant prices, 1913 borders'!N131</f>
        <v>0</v>
      </c>
      <c r="Z131" s="2">
        <f>O131-'Constant prices, 1913 borders'!O131</f>
        <v>0</v>
      </c>
      <c r="AA131" s="2">
        <f>P131-'Constant prices, 1913 borders'!P131</f>
        <v>0</v>
      </c>
      <c r="AB131" s="2">
        <f>Q131-'Constant prices, 1913 borders'!Q131</f>
        <v>0</v>
      </c>
      <c r="AC131" s="2">
        <f>R131-'Constant prices, 1913 borders'!R131</f>
        <v>0</v>
      </c>
      <c r="AD131" s="2">
        <f>S131-'Constant prices, 1913 borders'!S131</f>
        <v>0</v>
      </c>
      <c r="AF131">
        <f t="shared" si="1"/>
        <v>0</v>
      </c>
    </row>
    <row r="132" spans="1:32" x14ac:dyDescent="0.25">
      <c r="A132">
        <v>1925</v>
      </c>
      <c r="B132" s="6">
        <v>464.12019790055234</v>
      </c>
      <c r="C132" s="6">
        <v>10.172331944541813</v>
      </c>
      <c r="D132" s="6"/>
      <c r="E132" s="6">
        <v>4.8299676256488508</v>
      </c>
      <c r="F132" s="6">
        <v>4.1476669837875582</v>
      </c>
      <c r="G132" s="6"/>
      <c r="H132" s="6">
        <v>261.6478254130771</v>
      </c>
      <c r="I132" s="6"/>
      <c r="J132" s="6"/>
      <c r="K132" s="6"/>
      <c r="L132" s="6">
        <v>361.84433669222187</v>
      </c>
      <c r="M132" s="6">
        <v>17.198968042655359</v>
      </c>
      <c r="N132" s="6"/>
      <c r="O132" s="6">
        <v>2.627839285525619</v>
      </c>
      <c r="P132" s="6">
        <v>7.2686907095992623</v>
      </c>
      <c r="Q132" s="6"/>
      <c r="R132" s="6">
        <v>157.27125756717007</v>
      </c>
      <c r="S132" s="4"/>
      <c r="U132" s="2"/>
      <c r="V132" s="2"/>
      <c r="W132" s="2">
        <f>L132-'Constant prices, 1913 borders'!L132</f>
        <v>0</v>
      </c>
      <c r="X132" s="2">
        <f>M132-'Constant prices, 1913 borders'!M132</f>
        <v>0</v>
      </c>
      <c r="Y132" s="2">
        <f>N132-'Constant prices, 1913 borders'!N132</f>
        <v>0</v>
      </c>
      <c r="Z132" s="2">
        <f>O132-'Constant prices, 1913 borders'!O132</f>
        <v>0</v>
      </c>
      <c r="AA132" s="2">
        <f>P132-'Constant prices, 1913 borders'!P132</f>
        <v>0</v>
      </c>
      <c r="AB132" s="2">
        <f>Q132-'Constant prices, 1913 borders'!Q132</f>
        <v>0</v>
      </c>
      <c r="AC132" s="2">
        <f>R132-'Constant prices, 1913 borders'!R132</f>
        <v>0</v>
      </c>
      <c r="AD132" s="2">
        <f>S132-'Constant prices, 1913 borders'!S132</f>
        <v>0</v>
      </c>
      <c r="AF132">
        <f t="shared" si="1"/>
        <v>0</v>
      </c>
    </row>
    <row r="133" spans="1:32" x14ac:dyDescent="0.25">
      <c r="A133">
        <v>1926</v>
      </c>
      <c r="B133" s="6">
        <v>417.27241883211673</v>
      </c>
      <c r="C133" s="6">
        <v>11.322207761349482</v>
      </c>
      <c r="D133" s="6"/>
      <c r="E133" s="6">
        <v>4.5663559457493825</v>
      </c>
      <c r="F133" s="6">
        <v>4.545284509156045</v>
      </c>
      <c r="G133" s="6"/>
      <c r="H133" s="6">
        <v>265.22437446334322</v>
      </c>
      <c r="I133" s="6"/>
      <c r="J133" s="6"/>
      <c r="K133" s="6"/>
      <c r="L133" s="6">
        <v>458.01265436749958</v>
      </c>
      <c r="M133" s="6">
        <v>19.571821592292451</v>
      </c>
      <c r="N133" s="6"/>
      <c r="O133" s="6">
        <v>2.692910475664072</v>
      </c>
      <c r="P133" s="6">
        <v>9.9509520756527952</v>
      </c>
      <c r="Q133" s="6"/>
      <c r="R133" s="6">
        <v>159.03266567050784</v>
      </c>
      <c r="S133" s="4"/>
      <c r="U133" s="2"/>
      <c r="V133" s="2"/>
      <c r="W133" s="2">
        <f>L133-'Constant prices, 1913 borders'!L133</f>
        <v>0</v>
      </c>
      <c r="X133" s="2">
        <f>M133-'Constant prices, 1913 borders'!M133</f>
        <v>0</v>
      </c>
      <c r="Y133" s="2">
        <f>N133-'Constant prices, 1913 borders'!N133</f>
        <v>0</v>
      </c>
      <c r="Z133" s="2">
        <f>O133-'Constant prices, 1913 borders'!O133</f>
        <v>0</v>
      </c>
      <c r="AA133" s="2">
        <f>P133-'Constant prices, 1913 borders'!P133</f>
        <v>0</v>
      </c>
      <c r="AB133" s="2">
        <f>Q133-'Constant prices, 1913 borders'!Q133</f>
        <v>0</v>
      </c>
      <c r="AC133" s="2">
        <f>R133-'Constant prices, 1913 borders'!R133</f>
        <v>0</v>
      </c>
      <c r="AD133" s="2">
        <f>S133-'Constant prices, 1913 borders'!S133</f>
        <v>0</v>
      </c>
      <c r="AF133">
        <f t="shared" si="1"/>
        <v>0</v>
      </c>
    </row>
    <row r="134" spans="1:32" x14ac:dyDescent="0.25">
      <c r="A134">
        <v>1927</v>
      </c>
      <c r="B134" s="6">
        <v>426.57884897727263</v>
      </c>
      <c r="C134" s="6">
        <v>10.165078217273843</v>
      </c>
      <c r="D134" s="6"/>
      <c r="E134" s="6">
        <v>6.42269590141923</v>
      </c>
      <c r="F134" s="6">
        <v>4.7680551932379567</v>
      </c>
      <c r="G134" s="6"/>
      <c r="H134" s="6">
        <v>229.52383358750401</v>
      </c>
      <c r="I134" s="6"/>
      <c r="J134" s="6"/>
      <c r="K134" s="6"/>
      <c r="L134" s="6">
        <v>444.58758196771788</v>
      </c>
      <c r="M134" s="6">
        <v>20.306063201326719</v>
      </c>
      <c r="N134" s="6"/>
      <c r="O134" s="6">
        <v>3.8793329157329377</v>
      </c>
      <c r="P134" s="6">
        <v>9.5601115887307824</v>
      </c>
      <c r="Q134" s="6"/>
      <c r="R134" s="6">
        <v>172.16170741539716</v>
      </c>
      <c r="S134" s="4"/>
      <c r="U134" s="2"/>
      <c r="V134" s="2"/>
      <c r="W134" s="2">
        <f>L134-'Constant prices, 1913 borders'!L134</f>
        <v>0</v>
      </c>
      <c r="X134" s="2">
        <f>M134-'Constant prices, 1913 borders'!M134</f>
        <v>0</v>
      </c>
      <c r="Y134" s="2">
        <f>N134-'Constant prices, 1913 borders'!N134</f>
        <v>0</v>
      </c>
      <c r="Z134" s="2">
        <f>O134-'Constant prices, 1913 borders'!O134</f>
        <v>0</v>
      </c>
      <c r="AA134" s="2">
        <f>P134-'Constant prices, 1913 borders'!P134</f>
        <v>0</v>
      </c>
      <c r="AB134" s="2">
        <f>Q134-'Constant prices, 1913 borders'!Q134</f>
        <v>0</v>
      </c>
      <c r="AC134" s="2">
        <f>R134-'Constant prices, 1913 borders'!R134</f>
        <v>0</v>
      </c>
      <c r="AD134" s="2">
        <f>S134-'Constant prices, 1913 borders'!S134</f>
        <v>0</v>
      </c>
      <c r="AF134">
        <f t="shared" si="1"/>
        <v>0</v>
      </c>
    </row>
    <row r="135" spans="1:32" x14ac:dyDescent="0.25">
      <c r="A135">
        <v>1928</v>
      </c>
      <c r="B135" s="6">
        <v>444.82287343689308</v>
      </c>
      <c r="C135" s="6">
        <v>12.19101856889702</v>
      </c>
      <c r="D135" s="6"/>
      <c r="E135" s="6">
        <v>7.321990686867391</v>
      </c>
      <c r="F135" s="6">
        <v>6.5899137245460651</v>
      </c>
      <c r="G135" s="6"/>
      <c r="H135" s="6">
        <v>233.94301021671953</v>
      </c>
      <c r="I135" s="6"/>
      <c r="J135" s="6"/>
      <c r="K135" s="6"/>
      <c r="L135" s="6">
        <v>427.14982740207273</v>
      </c>
      <c r="M135" s="6">
        <v>30.903426967641469</v>
      </c>
      <c r="N135" s="6"/>
      <c r="O135" s="6">
        <v>3.58226081765708</v>
      </c>
      <c r="P135" s="6">
        <v>11.599422131923482</v>
      </c>
      <c r="Q135" s="6"/>
      <c r="R135" s="6">
        <v>178.0578244710166</v>
      </c>
      <c r="S135" s="4"/>
      <c r="U135" s="2"/>
      <c r="V135" s="2"/>
      <c r="W135" s="2">
        <f>L135-'Constant prices, 1913 borders'!L135</f>
        <v>0</v>
      </c>
      <c r="X135" s="2">
        <f>M135-'Constant prices, 1913 borders'!M135</f>
        <v>0</v>
      </c>
      <c r="Y135" s="2">
        <f>N135-'Constant prices, 1913 borders'!N135</f>
        <v>0</v>
      </c>
      <c r="Z135" s="2">
        <f>O135-'Constant prices, 1913 borders'!O135</f>
        <v>0</v>
      </c>
      <c r="AA135" s="2">
        <f>P135-'Constant prices, 1913 borders'!P135</f>
        <v>0</v>
      </c>
      <c r="AB135" s="2">
        <f>Q135-'Constant prices, 1913 borders'!Q135</f>
        <v>0</v>
      </c>
      <c r="AC135" s="2">
        <f>R135-'Constant prices, 1913 borders'!R135</f>
        <v>0</v>
      </c>
      <c r="AD135" s="2">
        <f>S135-'Constant prices, 1913 borders'!S135</f>
        <v>0</v>
      </c>
      <c r="AF135">
        <f t="shared" si="1"/>
        <v>0</v>
      </c>
    </row>
    <row r="136" spans="1:32" x14ac:dyDescent="0.25">
      <c r="A136">
        <v>1929</v>
      </c>
      <c r="B136" s="6">
        <v>387.71042504970166</v>
      </c>
      <c r="C136" s="6">
        <v>10.675329409680863</v>
      </c>
      <c r="D136" s="6"/>
      <c r="E136" s="6">
        <v>7.119096510465762</v>
      </c>
      <c r="F136" s="6">
        <v>6.0939798493785808</v>
      </c>
      <c r="G136" s="6"/>
      <c r="H136" s="6">
        <v>256.31863979928977</v>
      </c>
      <c r="I136" s="6"/>
      <c r="J136" s="6"/>
      <c r="K136" s="6"/>
      <c r="L136" s="6">
        <v>488.1848527046829</v>
      </c>
      <c r="M136" s="6">
        <v>17.760777998272562</v>
      </c>
      <c r="N136" s="6"/>
      <c r="O136" s="6">
        <v>3.8258679463534389</v>
      </c>
      <c r="P136" s="6">
        <v>9.2464414683398974</v>
      </c>
      <c r="Q136" s="6"/>
      <c r="R136" s="6">
        <v>188.2358701092908</v>
      </c>
      <c r="S136" s="4"/>
      <c r="U136" s="2"/>
      <c r="V136" s="2"/>
      <c r="W136" s="2">
        <f>L136-'Constant prices, 1913 borders'!L136</f>
        <v>0</v>
      </c>
      <c r="X136" s="2">
        <f>M136-'Constant prices, 1913 borders'!M136</f>
        <v>0</v>
      </c>
      <c r="Y136" s="2">
        <f>N136-'Constant prices, 1913 borders'!N136</f>
        <v>0</v>
      </c>
      <c r="Z136" s="2">
        <f>O136-'Constant prices, 1913 borders'!O136</f>
        <v>0</v>
      </c>
      <c r="AA136" s="2">
        <f>P136-'Constant prices, 1913 borders'!P136</f>
        <v>0</v>
      </c>
      <c r="AB136" s="2">
        <f>Q136-'Constant prices, 1913 borders'!Q136</f>
        <v>0</v>
      </c>
      <c r="AC136" s="2">
        <f>R136-'Constant prices, 1913 borders'!R136</f>
        <v>0</v>
      </c>
      <c r="AD136" s="2">
        <f>S136-'Constant prices, 1913 borders'!S136</f>
        <v>0</v>
      </c>
      <c r="AF136">
        <f t="shared" ref="AF136:AF145" si="2">+COUNTIF(W136:AD136,"&gt;0")</f>
        <v>0</v>
      </c>
    </row>
    <row r="137" spans="1:32" x14ac:dyDescent="0.25">
      <c r="A137">
        <v>1930</v>
      </c>
      <c r="B137" s="6">
        <v>314.97202578947349</v>
      </c>
      <c r="C137" s="6">
        <v>10.892957037437014</v>
      </c>
      <c r="D137" s="6"/>
      <c r="E137" s="6">
        <v>7.4856058043267666</v>
      </c>
      <c r="F137" s="6">
        <v>6.3609978605397615</v>
      </c>
      <c r="G137" s="6"/>
      <c r="H137" s="6">
        <v>250.99655192204693</v>
      </c>
      <c r="I137" s="6"/>
      <c r="J137" s="6"/>
      <c r="K137" s="6"/>
      <c r="L137" s="6">
        <v>456.4271451555814</v>
      </c>
      <c r="M137" s="6">
        <v>18.151984558584591</v>
      </c>
      <c r="N137" s="6"/>
      <c r="O137" s="6">
        <v>5.6616330480782295</v>
      </c>
      <c r="P137" s="6">
        <v>9.9932373739579283</v>
      </c>
      <c r="Q137" s="6"/>
      <c r="R137" s="6">
        <v>189.91506325086331</v>
      </c>
      <c r="S137" s="4"/>
      <c r="U137" s="2"/>
      <c r="V137" s="2"/>
      <c r="W137" s="2">
        <f>L137-'Constant prices, 1913 borders'!L137</f>
        <v>0</v>
      </c>
      <c r="X137" s="2">
        <f>M137-'Constant prices, 1913 borders'!M137</f>
        <v>0</v>
      </c>
      <c r="Y137" s="2">
        <f>N137-'Constant prices, 1913 borders'!N137</f>
        <v>0</v>
      </c>
      <c r="Z137" s="2">
        <f>O137-'Constant prices, 1913 borders'!O137</f>
        <v>0</v>
      </c>
      <c r="AA137" s="2">
        <f>P137-'Constant prices, 1913 borders'!P137</f>
        <v>0</v>
      </c>
      <c r="AB137" s="2">
        <f>Q137-'Constant prices, 1913 borders'!Q137</f>
        <v>0</v>
      </c>
      <c r="AC137" s="2">
        <f>R137-'Constant prices, 1913 borders'!R137</f>
        <v>0</v>
      </c>
      <c r="AD137" s="2">
        <f>S137-'Constant prices, 1913 borders'!S137</f>
        <v>0</v>
      </c>
      <c r="AF137">
        <f t="shared" si="2"/>
        <v>0</v>
      </c>
    </row>
    <row r="138" spans="1:32" x14ac:dyDescent="0.25">
      <c r="A138">
        <v>1931</v>
      </c>
      <c r="B138" s="6">
        <v>318.08976122199584</v>
      </c>
      <c r="C138" s="6">
        <v>8.9773267139031319</v>
      </c>
      <c r="D138" s="6"/>
      <c r="E138" s="6">
        <v>6.2487649012345354</v>
      </c>
      <c r="F138" s="6">
        <v>5.6662709901285568</v>
      </c>
      <c r="G138" s="6"/>
      <c r="H138" s="6">
        <v>157.95925241416646</v>
      </c>
      <c r="I138" s="6"/>
      <c r="J138" s="6"/>
      <c r="K138" s="6"/>
      <c r="L138" s="6">
        <v>319.88998653734336</v>
      </c>
      <c r="M138" s="6">
        <v>17.524544082539514</v>
      </c>
      <c r="N138" s="6"/>
      <c r="O138" s="6">
        <v>6.1414766177388573</v>
      </c>
      <c r="P138" s="6">
        <v>12.229025477019468</v>
      </c>
      <c r="Q138" s="6"/>
      <c r="R138" s="6">
        <v>190.85732365085457</v>
      </c>
      <c r="S138" s="4"/>
      <c r="U138" s="2"/>
      <c r="V138" s="2"/>
      <c r="W138" s="2">
        <f>L138-'Constant prices, 1913 borders'!L138</f>
        <v>0</v>
      </c>
      <c r="X138" s="2">
        <f>M138-'Constant prices, 1913 borders'!M138</f>
        <v>0</v>
      </c>
      <c r="Y138" s="2">
        <f>N138-'Constant prices, 1913 borders'!N138</f>
        <v>0</v>
      </c>
      <c r="Z138" s="2">
        <f>O138-'Constant prices, 1913 borders'!O138</f>
        <v>0</v>
      </c>
      <c r="AA138" s="2">
        <f>P138-'Constant prices, 1913 borders'!P138</f>
        <v>0</v>
      </c>
      <c r="AB138" s="2">
        <f>Q138-'Constant prices, 1913 borders'!Q138</f>
        <v>0</v>
      </c>
      <c r="AC138" s="2">
        <f>R138-'Constant prices, 1913 borders'!R138</f>
        <v>0</v>
      </c>
      <c r="AD138" s="2">
        <f>S138-'Constant prices, 1913 borders'!S138</f>
        <v>0</v>
      </c>
      <c r="AF138">
        <f t="shared" si="2"/>
        <v>0</v>
      </c>
    </row>
    <row r="139" spans="1:32" x14ac:dyDescent="0.25">
      <c r="A139">
        <v>1932</v>
      </c>
      <c r="B139" s="6">
        <v>347.41246560509541</v>
      </c>
      <c r="C139" s="6">
        <v>8.5209553901946293</v>
      </c>
      <c r="D139" s="6"/>
      <c r="E139" s="6">
        <v>5.1513571202470558</v>
      </c>
      <c r="F139" s="6">
        <v>5.0051736482326747</v>
      </c>
      <c r="G139" s="6"/>
      <c r="H139" s="6">
        <v>143.01328261900358</v>
      </c>
      <c r="I139" s="6"/>
      <c r="J139" s="6"/>
      <c r="K139" s="6"/>
      <c r="L139" s="6">
        <v>330.15925019315199</v>
      </c>
      <c r="M139" s="6">
        <v>25.868408172097396</v>
      </c>
      <c r="N139" s="6"/>
      <c r="O139" s="6">
        <v>3.5026977265027082</v>
      </c>
      <c r="P139" s="6">
        <v>11.513819293135096</v>
      </c>
      <c r="Q139" s="6"/>
      <c r="R139" s="6">
        <v>210.70648531054337</v>
      </c>
      <c r="S139" s="4"/>
      <c r="U139" s="2"/>
      <c r="V139" s="2"/>
      <c r="W139" s="2">
        <f>L139-'Constant prices, 1913 borders'!L139</f>
        <v>0</v>
      </c>
      <c r="X139" s="2">
        <f>M139-'Constant prices, 1913 borders'!M139</f>
        <v>0</v>
      </c>
      <c r="Y139" s="2">
        <f>N139-'Constant prices, 1913 borders'!N139</f>
        <v>0</v>
      </c>
      <c r="Z139" s="2">
        <f>O139-'Constant prices, 1913 borders'!O139</f>
        <v>0</v>
      </c>
      <c r="AA139" s="2">
        <f>P139-'Constant prices, 1913 borders'!P139</f>
        <v>0</v>
      </c>
      <c r="AB139" s="2">
        <f>Q139-'Constant prices, 1913 borders'!Q139</f>
        <v>0</v>
      </c>
      <c r="AC139" s="2">
        <f>R139-'Constant prices, 1913 borders'!R139</f>
        <v>0</v>
      </c>
      <c r="AD139" s="2">
        <f>S139-'Constant prices, 1913 borders'!S139</f>
        <v>0</v>
      </c>
      <c r="AF139">
        <f t="shared" si="2"/>
        <v>0</v>
      </c>
    </row>
    <row r="140" spans="1:32" x14ac:dyDescent="0.25">
      <c r="A140">
        <v>1933</v>
      </c>
      <c r="B140" s="6">
        <v>396.87054106904208</v>
      </c>
      <c r="C140" s="6">
        <v>9.4878351234016982</v>
      </c>
      <c r="D140" s="6"/>
      <c r="E140" s="6">
        <v>5.7978332942148132</v>
      </c>
      <c r="F140" s="6">
        <v>5.8121020268817709</v>
      </c>
      <c r="G140" s="6"/>
      <c r="H140" s="6">
        <v>151.38353031606252</v>
      </c>
      <c r="I140" s="6"/>
      <c r="J140" s="6"/>
      <c r="K140" s="6"/>
      <c r="L140" s="6">
        <v>335.66680884617034</v>
      </c>
      <c r="M140" s="6">
        <v>21.533683487312057</v>
      </c>
      <c r="N140" s="6"/>
      <c r="O140" s="6">
        <v>4.3438112629753478</v>
      </c>
      <c r="P140" s="6">
        <v>10.423854981057902</v>
      </c>
      <c r="Q140" s="6"/>
      <c r="R140" s="6">
        <v>243.16998450083065</v>
      </c>
      <c r="S140" s="4"/>
      <c r="U140" s="2"/>
      <c r="V140" s="2"/>
      <c r="W140" s="2">
        <f>L140-'Constant prices, 1913 borders'!L140</f>
        <v>0</v>
      </c>
      <c r="X140" s="2">
        <f>M140-'Constant prices, 1913 borders'!M140</f>
        <v>0</v>
      </c>
      <c r="Y140" s="2">
        <f>N140-'Constant prices, 1913 borders'!N140</f>
        <v>0</v>
      </c>
      <c r="Z140" s="2">
        <f>O140-'Constant prices, 1913 borders'!O140</f>
        <v>0</v>
      </c>
      <c r="AA140" s="2">
        <f>P140-'Constant prices, 1913 borders'!P140</f>
        <v>0</v>
      </c>
      <c r="AB140" s="2">
        <f>Q140-'Constant prices, 1913 borders'!Q140</f>
        <v>0</v>
      </c>
      <c r="AC140" s="2">
        <f>R140-'Constant prices, 1913 borders'!R140</f>
        <v>0</v>
      </c>
      <c r="AD140" s="2">
        <f>S140-'Constant prices, 1913 borders'!S140</f>
        <v>0</v>
      </c>
      <c r="AF140">
        <f t="shared" si="2"/>
        <v>0</v>
      </c>
    </row>
    <row r="141" spans="1:32" x14ac:dyDescent="0.25">
      <c r="A141">
        <v>1934</v>
      </c>
      <c r="B141" s="6">
        <v>410.19981837837821</v>
      </c>
      <c r="C141" s="6">
        <v>8.5078563756365444</v>
      </c>
      <c r="D141" s="6"/>
      <c r="E141" s="6">
        <v>5.9887530053866049</v>
      </c>
      <c r="F141" s="6">
        <v>5.3184777030006343</v>
      </c>
      <c r="G141" s="6"/>
      <c r="H141" s="6">
        <v>186.86056419244571</v>
      </c>
      <c r="I141" s="6"/>
      <c r="J141" s="6"/>
      <c r="K141" s="6"/>
      <c r="L141" s="6">
        <v>371.64214092931485</v>
      </c>
      <c r="M141" s="6">
        <v>16.188383910271462</v>
      </c>
      <c r="N141" s="6"/>
      <c r="O141" s="6">
        <v>6.3745013807655955</v>
      </c>
      <c r="P141" s="6">
        <v>6.7278590442562285</v>
      </c>
      <c r="Q141" s="6"/>
      <c r="R141" s="6">
        <v>228.70022095583371</v>
      </c>
      <c r="S141" s="4"/>
      <c r="U141" s="2"/>
      <c r="V141" s="2"/>
      <c r="W141" s="2">
        <f>L141-'Constant prices, 1913 borders'!L141</f>
        <v>0</v>
      </c>
      <c r="X141" s="2">
        <f>M141-'Constant prices, 1913 borders'!M141</f>
        <v>0</v>
      </c>
      <c r="Y141" s="2">
        <f>N141-'Constant prices, 1913 borders'!N141</f>
        <v>0</v>
      </c>
      <c r="Z141" s="2">
        <f>O141-'Constant prices, 1913 borders'!O141</f>
        <v>0</v>
      </c>
      <c r="AA141" s="2">
        <f>P141-'Constant prices, 1913 borders'!P141</f>
        <v>0</v>
      </c>
      <c r="AB141" s="2">
        <f>Q141-'Constant prices, 1913 borders'!Q141</f>
        <v>0</v>
      </c>
      <c r="AC141" s="2">
        <f>R141-'Constant prices, 1913 borders'!R141</f>
        <v>0</v>
      </c>
      <c r="AD141" s="2">
        <f>S141-'Constant prices, 1913 borders'!S141</f>
        <v>0</v>
      </c>
      <c r="AF141">
        <f t="shared" si="2"/>
        <v>0</v>
      </c>
    </row>
    <row r="142" spans="1:32" x14ac:dyDescent="0.25">
      <c r="A142">
        <v>1935</v>
      </c>
      <c r="B142" s="6">
        <v>425.98413087248292</v>
      </c>
      <c r="C142" s="6">
        <v>10.453294490437372</v>
      </c>
      <c r="D142" s="6"/>
      <c r="E142" s="6">
        <v>6.172719866277645</v>
      </c>
      <c r="F142" s="6">
        <v>5.9194001212133722</v>
      </c>
      <c r="G142" s="6"/>
      <c r="H142" s="6">
        <v>217.43046299513921</v>
      </c>
      <c r="I142" s="6"/>
      <c r="J142" s="6"/>
      <c r="K142" s="6"/>
      <c r="L142" s="6">
        <v>426.35795199386985</v>
      </c>
      <c r="M142" s="6">
        <v>24.338339739322372</v>
      </c>
      <c r="N142" s="6"/>
      <c r="O142" s="6">
        <v>11.318757812793205</v>
      </c>
      <c r="P142" s="6">
        <v>8.94489492450084</v>
      </c>
      <c r="Q142" s="6"/>
      <c r="R142" s="6">
        <v>228.68046568192449</v>
      </c>
      <c r="S142" s="4"/>
      <c r="U142" s="2"/>
      <c r="V142" s="2"/>
      <c r="W142" s="2">
        <f>L142-'Constant prices, 1913 borders'!L142</f>
        <v>0</v>
      </c>
      <c r="X142" s="2">
        <f>M142-'Constant prices, 1913 borders'!M142</f>
        <v>0</v>
      </c>
      <c r="Y142" s="2">
        <f>N142-'Constant prices, 1913 borders'!N142</f>
        <v>0</v>
      </c>
      <c r="Z142" s="2">
        <f>O142-'Constant prices, 1913 borders'!O142</f>
        <v>0</v>
      </c>
      <c r="AA142" s="2">
        <f>P142-'Constant prices, 1913 borders'!P142</f>
        <v>0</v>
      </c>
      <c r="AB142" s="2">
        <f>Q142-'Constant prices, 1913 borders'!Q142</f>
        <v>0</v>
      </c>
      <c r="AC142" s="2">
        <f>R142-'Constant prices, 1913 borders'!R142</f>
        <v>0</v>
      </c>
      <c r="AD142" s="2">
        <f>S142-'Constant prices, 1913 borders'!S142</f>
        <v>0</v>
      </c>
      <c r="AF142">
        <f t="shared" si="2"/>
        <v>0</v>
      </c>
    </row>
    <row r="143" spans="1:32" x14ac:dyDescent="0.25">
      <c r="A143">
        <v>1936</v>
      </c>
      <c r="B143" s="6">
        <v>496.54029581699319</v>
      </c>
      <c r="C143" s="6">
        <v>11.604625029550805</v>
      </c>
      <c r="D143" s="6"/>
      <c r="E143" s="6">
        <v>5.6314053212785184</v>
      </c>
      <c r="F143" s="6">
        <v>7.3917461768084163</v>
      </c>
      <c r="G143" s="6"/>
      <c r="H143" s="6">
        <v>253.42057481154873</v>
      </c>
      <c r="I143" s="6"/>
      <c r="J143" s="6"/>
      <c r="K143" s="6"/>
      <c r="L143" s="6">
        <v>390.05017394524577</v>
      </c>
      <c r="M143" s="6">
        <v>23.890740174081934</v>
      </c>
      <c r="N143" s="6"/>
      <c r="O143" s="6">
        <v>11.195928482725472</v>
      </c>
      <c r="P143" s="6">
        <v>11.282015868270568</v>
      </c>
      <c r="Q143" s="6"/>
      <c r="R143" s="6">
        <v>246.16491679778451</v>
      </c>
      <c r="S143" s="4"/>
      <c r="U143" s="2"/>
      <c r="V143" s="2"/>
      <c r="W143" s="2">
        <f>L143-'Constant prices, 1913 borders'!L143</f>
        <v>0</v>
      </c>
      <c r="X143" s="2">
        <f>M143-'Constant prices, 1913 borders'!M143</f>
        <v>0</v>
      </c>
      <c r="Y143" s="2">
        <f>N143-'Constant prices, 1913 borders'!N143</f>
        <v>0</v>
      </c>
      <c r="Z143" s="2">
        <f>O143-'Constant prices, 1913 borders'!O143</f>
        <v>0</v>
      </c>
      <c r="AA143" s="2">
        <f>P143-'Constant prices, 1913 borders'!P143</f>
        <v>0</v>
      </c>
      <c r="AB143" s="2">
        <f>Q143-'Constant prices, 1913 borders'!Q143</f>
        <v>0</v>
      </c>
      <c r="AC143" s="2">
        <f>R143-'Constant prices, 1913 borders'!R143</f>
        <v>0</v>
      </c>
      <c r="AD143" s="2">
        <f>S143-'Constant prices, 1913 borders'!S143</f>
        <v>0</v>
      </c>
      <c r="AF143">
        <f t="shared" si="2"/>
        <v>0</v>
      </c>
    </row>
    <row r="144" spans="1:32" x14ac:dyDescent="0.25">
      <c r="A144">
        <v>1937</v>
      </c>
      <c r="B144" s="6">
        <v>503.75925093555071</v>
      </c>
      <c r="C144" s="6">
        <v>11.019335894029147</v>
      </c>
      <c r="D144" s="6"/>
      <c r="E144" s="6">
        <v>4.1951987898225678</v>
      </c>
      <c r="F144" s="6">
        <v>7.6441077028774291</v>
      </c>
      <c r="G144" s="6"/>
      <c r="H144" s="6">
        <v>317.9191870464287</v>
      </c>
      <c r="I144" s="6"/>
      <c r="J144" s="6"/>
      <c r="K144" s="6"/>
      <c r="L144" s="6">
        <v>449.47591923122559</v>
      </c>
      <c r="M144" s="6">
        <v>22.87101120868925</v>
      </c>
      <c r="N144" s="6"/>
      <c r="O144" s="6">
        <v>9.2427191927771162</v>
      </c>
      <c r="P144" s="6">
        <v>14.196065575907994</v>
      </c>
      <c r="Q144" s="6"/>
      <c r="R144" s="6">
        <v>248.74055396669422</v>
      </c>
      <c r="S144" s="4"/>
      <c r="U144" s="2"/>
      <c r="V144" s="2"/>
      <c r="W144" s="2">
        <f>L144-'Constant prices, 1913 borders'!L144</f>
        <v>0</v>
      </c>
      <c r="X144" s="2">
        <f>M144-'Constant prices, 1913 borders'!M144</f>
        <v>0</v>
      </c>
      <c r="Y144" s="2">
        <f>N144-'Constant prices, 1913 borders'!N144</f>
        <v>0</v>
      </c>
      <c r="Z144" s="2">
        <f>O144-'Constant prices, 1913 borders'!O144</f>
        <v>0</v>
      </c>
      <c r="AA144" s="2">
        <f>P144-'Constant prices, 1913 borders'!P144</f>
        <v>0</v>
      </c>
      <c r="AB144" s="2">
        <f>Q144-'Constant prices, 1913 borders'!Q144</f>
        <v>0</v>
      </c>
      <c r="AC144" s="2">
        <f>R144-'Constant prices, 1913 borders'!R144</f>
        <v>0</v>
      </c>
      <c r="AD144" s="2">
        <f>S144-'Constant prices, 1913 borders'!S144</f>
        <v>0</v>
      </c>
      <c r="AF144">
        <f t="shared" si="2"/>
        <v>0</v>
      </c>
    </row>
    <row r="145" spans="1:32" x14ac:dyDescent="0.25">
      <c r="A145">
        <v>1938</v>
      </c>
      <c r="B145" s="6">
        <v>449.00773368635413</v>
      </c>
      <c r="C145" s="6">
        <v>11.266688234918407</v>
      </c>
      <c r="D145" s="6"/>
      <c r="E145" s="6">
        <v>4.564810626212366</v>
      </c>
      <c r="F145" s="6">
        <v>8.9003454155541757</v>
      </c>
      <c r="G145" s="6"/>
      <c r="H145" s="6">
        <v>311.88959577715798</v>
      </c>
      <c r="I145" s="6"/>
      <c r="J145" s="6"/>
      <c r="K145" s="6"/>
      <c r="L145" s="6">
        <v>546.00215338094131</v>
      </c>
      <c r="M145" s="6">
        <v>22.223916694842789</v>
      </c>
      <c r="N145" s="6"/>
      <c r="O145" s="6">
        <v>15.627086476292588</v>
      </c>
      <c r="P145" s="6">
        <v>13.219672338340764</v>
      </c>
      <c r="Q145" s="6"/>
      <c r="R145" s="6">
        <v>233.78894709986378</v>
      </c>
      <c r="S145" s="4"/>
      <c r="U145" s="2"/>
      <c r="V145" s="2"/>
      <c r="W145" s="2">
        <f>L145-'Constant prices, 1913 borders'!L145</f>
        <v>0</v>
      </c>
      <c r="X145" s="2">
        <f>M145-'Constant prices, 1913 borders'!M145</f>
        <v>0</v>
      </c>
      <c r="Y145" s="2">
        <f>N145-'Constant prices, 1913 borders'!N145</f>
        <v>0</v>
      </c>
      <c r="Z145" s="2">
        <f>O145-'Constant prices, 1913 borders'!O145</f>
        <v>0</v>
      </c>
      <c r="AA145" s="2">
        <f>P145-'Constant prices, 1913 borders'!P145</f>
        <v>0</v>
      </c>
      <c r="AB145" s="2">
        <f>Q145-'Constant prices, 1913 borders'!Q145</f>
        <v>0</v>
      </c>
      <c r="AC145" s="2">
        <f>R145-'Constant prices, 1913 borders'!R145</f>
        <v>0</v>
      </c>
      <c r="AD145" s="2">
        <f>S145-'Constant prices, 1913 borders'!S145</f>
        <v>0</v>
      </c>
      <c r="AF145">
        <f t="shared" si="2"/>
        <v>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45"/>
  <sheetViews>
    <sheetView workbookViewId="0">
      <pane xSplit="1" ySplit="6" topLeftCell="I24" activePane="bottomRight" state="frozen"/>
      <selection pane="topRight" activeCell="B1" sqref="B1"/>
      <selection pane="bottomLeft" activeCell="A7" sqref="A7"/>
      <selection pane="bottomRight" activeCell="W41" sqref="W41:W42"/>
    </sheetView>
  </sheetViews>
  <sheetFormatPr baseColWidth="10" defaultColWidth="9.109375" defaultRowHeight="13.2" x14ac:dyDescent="0.25"/>
  <cols>
    <col min="2" max="2" width="11.5546875" bestFit="1" customWidth="1"/>
    <col min="3" max="3" width="10.5546875" bestFit="1" customWidth="1"/>
    <col min="5" max="7" width="9.5546875" bestFit="1" customWidth="1"/>
    <col min="8" max="8" width="11.5546875" bestFit="1" customWidth="1"/>
    <col min="12" max="12" width="11.5546875" bestFit="1" customWidth="1"/>
    <col min="13" max="13" width="10.5546875" bestFit="1" customWidth="1"/>
    <col min="15" max="16" width="10.5546875" bestFit="1" customWidth="1"/>
    <col min="17" max="17" width="9.5546875" bestFit="1" customWidth="1"/>
    <col min="18" max="18" width="11.6640625" bestFit="1" customWidth="1"/>
    <col min="19" max="19" width="11.5546875" customWidth="1"/>
  </cols>
  <sheetData>
    <row r="1" spans="1:19" x14ac:dyDescent="0.25">
      <c r="J1" s="1"/>
      <c r="K1" s="1"/>
    </row>
    <row r="2" spans="1:19" ht="14.4" x14ac:dyDescent="0.3">
      <c r="A2" s="1"/>
      <c r="B2" s="16" t="s">
        <v>0</v>
      </c>
      <c r="L2" s="16" t="s">
        <v>1</v>
      </c>
    </row>
    <row r="3" spans="1:19" ht="14.4" x14ac:dyDescent="0.3">
      <c r="B3" s="13" t="s">
        <v>13</v>
      </c>
      <c r="C3" s="14" t="s">
        <v>19</v>
      </c>
      <c r="D3" s="13" t="s">
        <v>17</v>
      </c>
      <c r="E3" s="13" t="s">
        <v>14</v>
      </c>
      <c r="F3" s="15" t="s">
        <v>20</v>
      </c>
      <c r="G3" s="13" t="s">
        <v>15</v>
      </c>
      <c r="H3" s="13" t="s">
        <v>16</v>
      </c>
      <c r="I3" s="13" t="s">
        <v>18</v>
      </c>
      <c r="K3" s="1"/>
      <c r="L3" s="13" t="s">
        <v>13</v>
      </c>
      <c r="M3" s="14" t="s">
        <v>19</v>
      </c>
      <c r="N3" s="13" t="s">
        <v>17</v>
      </c>
      <c r="O3" s="13" t="s">
        <v>14</v>
      </c>
      <c r="P3" s="15" t="s">
        <v>20</v>
      </c>
      <c r="Q3" s="13" t="s">
        <v>15</v>
      </c>
      <c r="R3" s="13" t="s">
        <v>16</v>
      </c>
      <c r="S3" s="13" t="s">
        <v>18</v>
      </c>
    </row>
    <row r="4" spans="1:19" ht="14.4" x14ac:dyDescent="0.3">
      <c r="B4" s="17" t="s">
        <v>24</v>
      </c>
      <c r="C4" s="17"/>
      <c r="L4" s="17" t="s">
        <v>24</v>
      </c>
      <c r="M4" s="17"/>
    </row>
    <row r="7" spans="1:19" x14ac:dyDescent="0.25">
      <c r="A7">
        <v>1800</v>
      </c>
    </row>
    <row r="8" spans="1:19" x14ac:dyDescent="0.25">
      <c r="A8">
        <v>1801</v>
      </c>
    </row>
    <row r="9" spans="1:19" x14ac:dyDescent="0.25">
      <c r="A9">
        <v>1802</v>
      </c>
    </row>
    <row r="10" spans="1:19" x14ac:dyDescent="0.25">
      <c r="A10">
        <v>1803</v>
      </c>
    </row>
    <row r="11" spans="1:19" x14ac:dyDescent="0.25">
      <c r="A11">
        <v>1804</v>
      </c>
    </row>
    <row r="12" spans="1:19" x14ac:dyDescent="0.25">
      <c r="A12">
        <v>1805</v>
      </c>
    </row>
    <row r="13" spans="1:19" x14ac:dyDescent="0.25">
      <c r="A13">
        <v>1806</v>
      </c>
    </row>
    <row r="14" spans="1:19" x14ac:dyDescent="0.25">
      <c r="A14">
        <v>1807</v>
      </c>
    </row>
    <row r="15" spans="1:19" x14ac:dyDescent="0.25">
      <c r="A15">
        <v>1808</v>
      </c>
    </row>
    <row r="16" spans="1:19" x14ac:dyDescent="0.25">
      <c r="A16">
        <v>1809</v>
      </c>
    </row>
    <row r="17" spans="1:1" x14ac:dyDescent="0.25">
      <c r="A17">
        <v>1810</v>
      </c>
    </row>
    <row r="18" spans="1:1" x14ac:dyDescent="0.25">
      <c r="A18">
        <v>1811</v>
      </c>
    </row>
    <row r="19" spans="1:1" x14ac:dyDescent="0.25">
      <c r="A19">
        <v>1812</v>
      </c>
    </row>
    <row r="20" spans="1:1" x14ac:dyDescent="0.25">
      <c r="A20">
        <v>1813</v>
      </c>
    </row>
    <row r="21" spans="1:1" x14ac:dyDescent="0.25">
      <c r="A21">
        <v>1814</v>
      </c>
    </row>
    <row r="22" spans="1:1" x14ac:dyDescent="0.25">
      <c r="A22">
        <v>1815</v>
      </c>
    </row>
    <row r="23" spans="1:1" x14ac:dyDescent="0.25">
      <c r="A23">
        <v>1816</v>
      </c>
    </row>
    <row r="24" spans="1:1" x14ac:dyDescent="0.25">
      <c r="A24">
        <v>1817</v>
      </c>
    </row>
    <row r="25" spans="1:1" x14ac:dyDescent="0.25">
      <c r="A25">
        <v>1818</v>
      </c>
    </row>
    <row r="26" spans="1:1" x14ac:dyDescent="0.25">
      <c r="A26">
        <v>1819</v>
      </c>
    </row>
    <row r="27" spans="1:1" x14ac:dyDescent="0.25">
      <c r="A27">
        <v>1820</v>
      </c>
    </row>
    <row r="28" spans="1:1" x14ac:dyDescent="0.25">
      <c r="A28">
        <v>1821</v>
      </c>
    </row>
    <row r="29" spans="1:1" x14ac:dyDescent="0.25">
      <c r="A29">
        <v>1822</v>
      </c>
    </row>
    <row r="30" spans="1:1" x14ac:dyDescent="0.25">
      <c r="A30">
        <v>1823</v>
      </c>
    </row>
    <row r="31" spans="1:1" x14ac:dyDescent="0.25">
      <c r="A31">
        <v>1824</v>
      </c>
    </row>
    <row r="32" spans="1:1" x14ac:dyDescent="0.25">
      <c r="A32">
        <v>1825</v>
      </c>
    </row>
    <row r="33" spans="1:19" x14ac:dyDescent="0.25">
      <c r="A33">
        <v>1826</v>
      </c>
      <c r="B33" s="6">
        <v>1.6915229005470134</v>
      </c>
      <c r="C33" s="6"/>
      <c r="D33" s="6"/>
      <c r="E33" s="6"/>
      <c r="F33" s="6"/>
      <c r="G33" s="6"/>
      <c r="H33" s="6"/>
      <c r="I33" s="6"/>
      <c r="J33" s="6"/>
      <c r="K33" s="6"/>
      <c r="L33" s="6">
        <v>0.99090049587719342</v>
      </c>
      <c r="M33" s="6"/>
      <c r="N33" s="6"/>
      <c r="O33" s="6"/>
      <c r="P33" s="6"/>
      <c r="Q33" s="6">
        <v>2.6990701664083688E-4</v>
      </c>
      <c r="R33" s="6">
        <v>8.453359317911812E-3</v>
      </c>
    </row>
    <row r="34" spans="1:19" x14ac:dyDescent="0.25">
      <c r="A34">
        <v>1827</v>
      </c>
      <c r="B34" s="6">
        <v>2.1315112700887062</v>
      </c>
      <c r="C34" s="6"/>
      <c r="D34" s="6"/>
      <c r="E34" s="6"/>
      <c r="F34" s="6"/>
      <c r="G34" s="6"/>
      <c r="H34" s="6"/>
      <c r="I34" s="6"/>
      <c r="J34" s="6"/>
      <c r="K34" s="6"/>
      <c r="L34" s="6">
        <v>0.93997221490832139</v>
      </c>
      <c r="M34" s="6"/>
      <c r="N34" s="6"/>
      <c r="O34" s="6"/>
      <c r="P34" s="6"/>
      <c r="Q34" s="6">
        <v>2.5698866361783824E-4</v>
      </c>
      <c r="R34" s="6">
        <v>7.6398760420119515E-3</v>
      </c>
    </row>
    <row r="35" spans="1:19" x14ac:dyDescent="0.25">
      <c r="A35">
        <v>1828</v>
      </c>
      <c r="B35" s="6">
        <v>2.9617841933932003</v>
      </c>
      <c r="C35" s="6"/>
      <c r="D35" s="6"/>
      <c r="E35" s="6"/>
      <c r="F35" s="6"/>
      <c r="G35" s="6"/>
      <c r="H35" s="6"/>
      <c r="I35" s="6"/>
      <c r="J35" s="6"/>
      <c r="K35" s="6"/>
      <c r="L35" s="6">
        <v>0.98503689528789573</v>
      </c>
      <c r="M35" s="6"/>
      <c r="N35" s="6"/>
      <c r="O35" s="6"/>
      <c r="P35" s="6"/>
      <c r="Q35" s="6">
        <v>2.5382866646983033E-4</v>
      </c>
      <c r="R35" s="6">
        <v>8.0009408786355304E-3</v>
      </c>
    </row>
    <row r="36" spans="1:19" x14ac:dyDescent="0.25">
      <c r="A36">
        <v>1829</v>
      </c>
      <c r="B36" s="6">
        <v>3.0247261517422928</v>
      </c>
      <c r="C36" s="6"/>
      <c r="D36" s="6"/>
      <c r="E36" s="6"/>
      <c r="F36" s="6"/>
      <c r="G36" s="6"/>
      <c r="H36" s="6"/>
      <c r="I36" s="6"/>
      <c r="J36" s="6"/>
      <c r="K36" s="6"/>
      <c r="L36" s="6">
        <v>1.9769636927303125</v>
      </c>
      <c r="M36" s="6"/>
      <c r="N36" s="6"/>
      <c r="O36" s="6"/>
      <c r="P36" s="6"/>
      <c r="Q36" s="6">
        <v>5.5768115826032897E-4</v>
      </c>
      <c r="R36" s="6">
        <v>1.6094166730966794E-2</v>
      </c>
    </row>
    <row r="37" spans="1:19" x14ac:dyDescent="0.25">
      <c r="A37">
        <v>1830</v>
      </c>
      <c r="B37" s="6">
        <v>2.7482811611922209</v>
      </c>
      <c r="C37" s="6"/>
      <c r="D37" s="6"/>
      <c r="E37" s="6"/>
      <c r="F37" s="6"/>
      <c r="G37" s="6"/>
      <c r="H37" s="6"/>
      <c r="I37" s="6"/>
      <c r="J37" s="6"/>
      <c r="K37" s="6"/>
      <c r="L37" s="6">
        <v>1.9773451379456379</v>
      </c>
      <c r="M37" s="6"/>
      <c r="N37" s="6"/>
      <c r="O37" s="6"/>
      <c r="P37" s="6"/>
      <c r="Q37" s="6">
        <v>5.8860890376467802E-4</v>
      </c>
      <c r="R37" s="6">
        <v>1.7148026855509514E-2</v>
      </c>
      <c r="S37" s="9"/>
    </row>
    <row r="38" spans="1:19" x14ac:dyDescent="0.25">
      <c r="A38">
        <v>1831</v>
      </c>
      <c r="B38" s="6">
        <v>2.8904511570075799</v>
      </c>
      <c r="C38" s="6"/>
      <c r="D38" s="6"/>
      <c r="E38" s="6"/>
      <c r="F38" s="6"/>
      <c r="G38" s="6"/>
      <c r="H38" s="6"/>
      <c r="I38" s="6"/>
      <c r="J38" s="6"/>
      <c r="K38" s="6"/>
      <c r="L38" s="6">
        <v>3.7961075854867281</v>
      </c>
      <c r="M38" s="6"/>
      <c r="N38" s="6"/>
      <c r="O38" s="6"/>
      <c r="P38" s="6"/>
      <c r="Q38" s="6">
        <v>1.3672247258774851E-3</v>
      </c>
      <c r="R38" s="6">
        <v>3.5562908505478802E-2</v>
      </c>
      <c r="S38" s="9"/>
    </row>
    <row r="39" spans="1:19" x14ac:dyDescent="0.25">
      <c r="A39">
        <v>1832</v>
      </c>
      <c r="B39" s="6">
        <v>3.894607394144229</v>
      </c>
      <c r="C39" s="6"/>
      <c r="D39" s="6"/>
      <c r="E39" s="6"/>
      <c r="F39" s="6"/>
      <c r="G39" s="6"/>
      <c r="H39" s="6"/>
      <c r="I39" s="6"/>
      <c r="J39" s="6"/>
      <c r="K39" s="6"/>
      <c r="L39" s="6">
        <v>4.0098995708839764</v>
      </c>
      <c r="M39" s="6"/>
      <c r="N39" s="6"/>
      <c r="O39" s="6"/>
      <c r="P39" s="6"/>
      <c r="Q39" s="6">
        <v>1.939393922794548E-3</v>
      </c>
      <c r="R39" s="6">
        <v>4.7092356378330279E-2</v>
      </c>
      <c r="S39" s="9"/>
    </row>
    <row r="40" spans="1:19" x14ac:dyDescent="0.25">
      <c r="A40">
        <v>1833</v>
      </c>
      <c r="B40" s="6">
        <v>4.4800993630354213</v>
      </c>
      <c r="C40" s="6"/>
      <c r="D40" s="6"/>
      <c r="E40" s="6"/>
      <c r="F40" s="6"/>
      <c r="G40" s="6"/>
      <c r="H40" s="6"/>
      <c r="I40" s="6"/>
      <c r="J40" s="6"/>
      <c r="K40" s="6"/>
      <c r="L40" s="6">
        <v>3.9785796102292514</v>
      </c>
      <c r="M40" s="6"/>
      <c r="N40" s="6"/>
      <c r="O40" s="6"/>
      <c r="P40" s="6"/>
      <c r="Q40" s="6">
        <v>1.8893396100702379E-3</v>
      </c>
      <c r="R40" s="6">
        <v>4.585503441910331E-2</v>
      </c>
      <c r="S40" s="9"/>
    </row>
    <row r="41" spans="1:19" x14ac:dyDescent="0.25">
      <c r="A41">
        <v>1834</v>
      </c>
      <c r="B41" s="6">
        <v>6.8694424839319739</v>
      </c>
      <c r="C41" s="6"/>
      <c r="D41" s="6"/>
      <c r="E41" s="6"/>
      <c r="F41" s="6"/>
      <c r="G41" s="6"/>
      <c r="H41" s="6"/>
      <c r="I41" s="6"/>
      <c r="J41" s="6"/>
      <c r="K41" s="6"/>
      <c r="L41" s="6">
        <v>6.9801894765186034</v>
      </c>
      <c r="M41" s="6"/>
      <c r="N41" s="6"/>
      <c r="O41" s="6"/>
      <c r="P41" s="6"/>
      <c r="Q41" s="6">
        <v>2.8366208685752675E-3</v>
      </c>
      <c r="R41" s="6">
        <v>6.945504911303893E-2</v>
      </c>
      <c r="S41" s="9"/>
    </row>
    <row r="42" spans="1:19" x14ac:dyDescent="0.25">
      <c r="A42">
        <v>1835</v>
      </c>
      <c r="B42" s="6">
        <v>7.7501445689701161</v>
      </c>
      <c r="C42" s="6"/>
      <c r="D42" s="6"/>
      <c r="E42" s="6"/>
      <c r="F42" s="6"/>
      <c r="G42" s="6"/>
      <c r="H42" s="6"/>
      <c r="I42" s="6"/>
      <c r="J42" s="6"/>
      <c r="K42" s="6"/>
      <c r="L42" s="6">
        <v>7.7490331489648314</v>
      </c>
      <c r="M42" s="6"/>
      <c r="N42" s="6"/>
      <c r="O42" s="6"/>
      <c r="P42" s="6"/>
      <c r="Q42" s="6">
        <v>2.5900628481749432E-3</v>
      </c>
      <c r="R42" s="6">
        <v>8.4788458520960147E-2</v>
      </c>
      <c r="S42" s="9"/>
    </row>
    <row r="43" spans="1:19" x14ac:dyDescent="0.25">
      <c r="A43">
        <v>1836</v>
      </c>
      <c r="B43" s="6">
        <v>7.6308144797787039</v>
      </c>
      <c r="C43" s="6"/>
      <c r="D43" s="6"/>
      <c r="E43" s="6"/>
      <c r="F43" s="6"/>
      <c r="G43" s="6"/>
      <c r="H43" s="6"/>
      <c r="I43" s="6"/>
      <c r="J43" s="6"/>
      <c r="K43" s="6"/>
      <c r="L43" s="6">
        <v>8.3558834202383121</v>
      </c>
      <c r="M43" s="6"/>
      <c r="N43" s="6"/>
      <c r="O43" s="6"/>
      <c r="P43" s="6"/>
      <c r="Q43" s="6">
        <v>2.1769537817578326E-3</v>
      </c>
      <c r="R43" s="6">
        <v>0.10494628268278887</v>
      </c>
      <c r="S43" s="9"/>
    </row>
    <row r="44" spans="1:19" x14ac:dyDescent="0.25">
      <c r="A44">
        <v>1837</v>
      </c>
      <c r="B44" s="6">
        <v>6.2073302124625194</v>
      </c>
      <c r="C44" s="6"/>
      <c r="D44" s="6"/>
      <c r="E44" s="6"/>
      <c r="F44" s="6"/>
      <c r="G44" s="6"/>
      <c r="H44" s="6"/>
      <c r="I44" s="6"/>
      <c r="J44" s="6"/>
      <c r="K44" s="6"/>
      <c r="L44" s="6">
        <v>7.3796585422735674</v>
      </c>
      <c r="M44" s="6"/>
      <c r="N44" s="6"/>
      <c r="O44" s="6"/>
      <c r="P44" s="6"/>
      <c r="Q44" s="6">
        <v>2.1169986946999769E-3</v>
      </c>
      <c r="R44" s="6">
        <v>0.11412527895063002</v>
      </c>
      <c r="S44" s="9"/>
    </row>
    <row r="45" spans="1:19" x14ac:dyDescent="0.25">
      <c r="A45">
        <v>1838</v>
      </c>
      <c r="B45" s="6">
        <v>8.0222688958249933</v>
      </c>
      <c r="C45" s="6"/>
      <c r="D45" s="6"/>
      <c r="E45" s="6"/>
      <c r="F45" s="6"/>
      <c r="G45" s="6"/>
      <c r="H45" s="6"/>
      <c r="I45" s="6"/>
      <c r="J45" s="6"/>
      <c r="K45" s="6"/>
      <c r="L45" s="6">
        <v>8.1772027357668211</v>
      </c>
      <c r="M45" s="6"/>
      <c r="N45" s="6"/>
      <c r="O45" s="6"/>
      <c r="P45" s="6"/>
      <c r="Q45" s="6">
        <v>2.0927718814427159E-3</v>
      </c>
      <c r="R45" s="6">
        <v>0.12032352681740358</v>
      </c>
      <c r="S45" s="9"/>
    </row>
    <row r="46" spans="1:19" x14ac:dyDescent="0.25">
      <c r="A46">
        <v>1839</v>
      </c>
      <c r="B46" s="6">
        <v>9.3114343951250582</v>
      </c>
      <c r="C46" s="6"/>
      <c r="D46" s="6"/>
      <c r="E46" s="6"/>
      <c r="F46" s="6"/>
      <c r="G46" s="6"/>
      <c r="H46" s="6"/>
      <c r="I46" s="6"/>
      <c r="J46" s="6"/>
      <c r="K46" s="6"/>
      <c r="L46" s="6">
        <v>7.4554299363589038</v>
      </c>
      <c r="M46" s="6"/>
      <c r="N46" s="6"/>
      <c r="O46" s="6"/>
      <c r="P46" s="6"/>
      <c r="Q46" s="6">
        <v>1.648560550887343E-3</v>
      </c>
      <c r="R46" s="6">
        <v>0.10924227243958094</v>
      </c>
      <c r="S46" s="9"/>
    </row>
    <row r="47" spans="1:19" x14ac:dyDescent="0.25">
      <c r="A47">
        <v>1840</v>
      </c>
      <c r="B47" s="6">
        <v>13.002436451056804</v>
      </c>
      <c r="C47" s="6"/>
      <c r="D47" s="6"/>
      <c r="E47" s="6"/>
      <c r="F47" s="6"/>
      <c r="G47" s="6"/>
      <c r="H47" s="6"/>
      <c r="I47" s="6"/>
      <c r="J47" s="6"/>
      <c r="K47" s="6"/>
      <c r="L47" s="6">
        <v>10.701517804201426</v>
      </c>
      <c r="M47" s="6"/>
      <c r="N47" s="6"/>
      <c r="O47" s="6"/>
      <c r="P47" s="6"/>
      <c r="Q47" s="6">
        <v>1.3379666505482814E-3</v>
      </c>
      <c r="R47" s="6">
        <v>0.16885100349481216</v>
      </c>
      <c r="S47" s="9"/>
    </row>
    <row r="48" spans="1:19" x14ac:dyDescent="0.25">
      <c r="A48">
        <v>1841</v>
      </c>
      <c r="B48" s="6">
        <v>11.242861128735013</v>
      </c>
      <c r="C48" s="6"/>
      <c r="D48" s="6"/>
      <c r="E48" s="6"/>
      <c r="F48" s="6"/>
      <c r="G48" s="6"/>
      <c r="H48" s="6"/>
      <c r="I48" s="6"/>
      <c r="J48" s="6"/>
      <c r="K48" s="6"/>
      <c r="L48" s="6">
        <v>8.6989822032866027</v>
      </c>
      <c r="M48" s="6"/>
      <c r="N48" s="6"/>
      <c r="O48" s="6"/>
      <c r="P48" s="6"/>
      <c r="Q48" s="6">
        <v>1.2809493439888346E-3</v>
      </c>
      <c r="R48" s="6">
        <v>0.15495768809694702</v>
      </c>
      <c r="S48" s="9"/>
    </row>
    <row r="49" spans="1:19" x14ac:dyDescent="0.25">
      <c r="A49">
        <v>1842</v>
      </c>
      <c r="B49" s="6">
        <v>6.7677510309860329</v>
      </c>
      <c r="C49" s="6"/>
      <c r="D49" s="6"/>
      <c r="E49" s="6"/>
      <c r="F49" s="6"/>
      <c r="G49" s="6"/>
      <c r="H49" s="6"/>
      <c r="I49" s="6"/>
      <c r="J49" s="6"/>
      <c r="K49" s="6"/>
      <c r="L49" s="6">
        <v>8.6501464217918969</v>
      </c>
      <c r="M49" s="6"/>
      <c r="N49" s="6"/>
      <c r="O49" s="6"/>
      <c r="P49" s="6"/>
      <c r="Q49" s="6">
        <v>1.2535780780519457E-3</v>
      </c>
      <c r="R49" s="6">
        <v>0.21138091651568863</v>
      </c>
      <c r="S49" s="9"/>
    </row>
    <row r="50" spans="1:19" x14ac:dyDescent="0.25">
      <c r="A50">
        <v>1843</v>
      </c>
      <c r="B50" s="6">
        <v>8.5612119405228846</v>
      </c>
      <c r="C50" s="6"/>
      <c r="D50" s="6"/>
      <c r="E50" s="6"/>
      <c r="F50" s="6"/>
      <c r="G50" s="6"/>
      <c r="H50" s="6"/>
      <c r="I50" s="6"/>
      <c r="J50" s="6"/>
      <c r="K50" s="6"/>
      <c r="L50" s="6">
        <v>8.6094780902292651</v>
      </c>
      <c r="M50" s="6"/>
      <c r="N50" s="6"/>
      <c r="O50" s="6"/>
      <c r="P50" s="6"/>
      <c r="Q50" s="6">
        <v>1.212430566967339E-3</v>
      </c>
      <c r="R50" s="6">
        <v>0.40855750913838096</v>
      </c>
      <c r="S50" s="9"/>
    </row>
    <row r="51" spans="1:19" x14ac:dyDescent="0.25">
      <c r="A51">
        <v>1844</v>
      </c>
      <c r="B51" s="6">
        <v>5.3809976709956091</v>
      </c>
      <c r="C51" s="6"/>
      <c r="D51" s="6"/>
      <c r="E51" s="6"/>
      <c r="F51" s="6"/>
      <c r="G51" s="6"/>
      <c r="H51" s="6"/>
      <c r="I51" s="6"/>
      <c r="J51" s="6"/>
      <c r="K51" s="6"/>
      <c r="L51" s="6">
        <v>8.1732928735897818</v>
      </c>
      <c r="M51" s="6"/>
      <c r="N51" s="6"/>
      <c r="O51" s="6"/>
      <c r="P51" s="6"/>
      <c r="Q51" s="6">
        <v>8.3571328633042787E-4</v>
      </c>
      <c r="R51" s="6">
        <v>0.37739331614654192</v>
      </c>
      <c r="S51" s="9"/>
    </row>
    <row r="52" spans="1:19" x14ac:dyDescent="0.25">
      <c r="A52">
        <v>1845</v>
      </c>
      <c r="B52" s="6">
        <v>6.8614417737447626</v>
      </c>
      <c r="C52" s="6"/>
      <c r="D52" s="6"/>
      <c r="E52" s="6"/>
      <c r="F52" s="6"/>
      <c r="G52" s="6"/>
      <c r="H52" s="6"/>
      <c r="I52" s="6"/>
      <c r="J52" s="6"/>
      <c r="K52" s="6"/>
      <c r="L52" s="6">
        <v>11.33067584779149</v>
      </c>
      <c r="M52" s="6"/>
      <c r="N52" s="6"/>
      <c r="O52" s="6"/>
      <c r="P52" s="6"/>
      <c r="Q52" s="6">
        <v>7.7845785852665632E-4</v>
      </c>
      <c r="R52" s="6">
        <v>0.62078789151190561</v>
      </c>
      <c r="S52" s="9"/>
    </row>
    <row r="53" spans="1:19" x14ac:dyDescent="0.25">
      <c r="A53">
        <v>1846</v>
      </c>
      <c r="B53" s="6">
        <v>7.8652377419337194</v>
      </c>
      <c r="C53" s="6"/>
      <c r="D53" s="6"/>
      <c r="E53" s="6"/>
      <c r="F53" s="6"/>
      <c r="G53" s="6"/>
      <c r="H53" s="6"/>
      <c r="I53" s="6"/>
      <c r="J53" s="6"/>
      <c r="K53" s="6"/>
      <c r="L53" s="6">
        <v>9.8317812196075636</v>
      </c>
      <c r="M53" s="6"/>
      <c r="N53" s="6"/>
      <c r="O53" s="6"/>
      <c r="P53" s="6"/>
      <c r="Q53" s="6">
        <v>1.5161027079216428E-3</v>
      </c>
      <c r="R53" s="6">
        <v>0.72223613149826682</v>
      </c>
      <c r="S53" s="9"/>
    </row>
    <row r="54" spans="1:19" x14ac:dyDescent="0.25">
      <c r="A54">
        <v>1847</v>
      </c>
      <c r="B54" s="6">
        <v>8.7672790606809006</v>
      </c>
      <c r="C54" s="6"/>
      <c r="D54" s="6"/>
      <c r="E54" s="6"/>
      <c r="F54" s="6"/>
      <c r="G54" s="6"/>
      <c r="H54" s="6"/>
      <c r="I54" s="6"/>
      <c r="J54" s="6"/>
      <c r="K54" s="6"/>
      <c r="L54" s="6">
        <v>10.868010681285535</v>
      </c>
      <c r="M54" s="6"/>
      <c r="N54" s="6"/>
      <c r="O54" s="6"/>
      <c r="P54" s="6"/>
      <c r="Q54" s="6">
        <v>3.2371981586274256E-3</v>
      </c>
      <c r="R54" s="6">
        <v>0.34356452551049571</v>
      </c>
      <c r="S54" s="9"/>
    </row>
    <row r="55" spans="1:19" x14ac:dyDescent="0.25">
      <c r="A55">
        <v>1848</v>
      </c>
      <c r="B55" s="6">
        <v>8.6969948216817805</v>
      </c>
      <c r="C55" s="6"/>
      <c r="D55" s="6"/>
      <c r="E55" s="6"/>
      <c r="F55" s="6"/>
      <c r="G55" s="6"/>
      <c r="H55" s="6"/>
      <c r="I55" s="6"/>
      <c r="J55" s="6"/>
      <c r="K55" s="6"/>
      <c r="L55" s="6">
        <v>11.073201245870532</v>
      </c>
      <c r="M55" s="6"/>
      <c r="N55" s="6"/>
      <c r="O55" s="6"/>
      <c r="P55" s="6"/>
      <c r="Q55" s="6">
        <v>4.9444616486961669E-3</v>
      </c>
      <c r="R55" s="6">
        <v>0.30672251337708606</v>
      </c>
      <c r="S55" s="9"/>
    </row>
    <row r="56" spans="1:19" ht="13.5" customHeight="1" x14ac:dyDescent="0.25">
      <c r="A56">
        <v>1849</v>
      </c>
      <c r="B56" s="6">
        <v>11.531338485792141</v>
      </c>
      <c r="C56" s="6"/>
      <c r="D56" s="6"/>
      <c r="E56" s="6"/>
      <c r="F56" s="6"/>
      <c r="G56" s="6"/>
      <c r="H56" s="6"/>
      <c r="I56" s="6"/>
      <c r="J56" s="6"/>
      <c r="K56" s="6"/>
      <c r="L56" s="6">
        <v>12.776862390773854</v>
      </c>
      <c r="M56" s="6"/>
      <c r="N56" s="6"/>
      <c r="O56" s="6"/>
      <c r="P56" s="6"/>
      <c r="Q56" s="6">
        <v>1.5487584885891146E-3</v>
      </c>
      <c r="R56" s="6">
        <v>0.92974818763101452</v>
      </c>
      <c r="S56" s="9"/>
    </row>
    <row r="57" spans="1:19" x14ac:dyDescent="0.25">
      <c r="A57">
        <v>1850</v>
      </c>
      <c r="B57" s="6">
        <v>14.905335668606694</v>
      </c>
      <c r="C57" s="6">
        <v>0.52575017570266036</v>
      </c>
      <c r="D57" s="6"/>
      <c r="E57" s="6">
        <v>0.50436046590528238</v>
      </c>
      <c r="F57" s="6">
        <v>0.28564234465984784</v>
      </c>
      <c r="G57" s="6">
        <v>0.33002373143325614</v>
      </c>
      <c r="H57" s="6">
        <v>1.4436335009971317</v>
      </c>
      <c r="I57" s="6"/>
      <c r="J57" s="6"/>
      <c r="K57" s="6"/>
      <c r="L57" s="6">
        <v>17.983105933732247</v>
      </c>
      <c r="M57" s="6">
        <v>0.31561833477350548</v>
      </c>
      <c r="N57" s="6"/>
      <c r="O57" s="6">
        <v>0.10314682280252176</v>
      </c>
      <c r="P57" s="6">
        <v>0.2035547408631648</v>
      </c>
      <c r="Q57" s="6">
        <v>4.0963481505382326E-3</v>
      </c>
      <c r="R57" s="6">
        <v>0.8587972385040441</v>
      </c>
      <c r="S57" s="9"/>
    </row>
    <row r="58" spans="1:19" x14ac:dyDescent="0.25">
      <c r="A58">
        <v>1851</v>
      </c>
      <c r="B58" s="6">
        <v>15.073724311124803</v>
      </c>
      <c r="C58" s="6">
        <v>0.92203869488190149</v>
      </c>
      <c r="D58" s="6"/>
      <c r="E58" s="6">
        <v>0.89309916213896468</v>
      </c>
      <c r="F58" s="6">
        <v>2.1712885777084892</v>
      </c>
      <c r="G58" s="6">
        <v>0.65116243999004841</v>
      </c>
      <c r="H58" s="6">
        <v>2.1236312440633038</v>
      </c>
      <c r="I58" s="6"/>
      <c r="J58" s="6"/>
      <c r="K58" s="6"/>
      <c r="L58" s="6">
        <v>16.587490720924595</v>
      </c>
      <c r="M58" s="6">
        <v>0.38383372920131736</v>
      </c>
      <c r="N58" s="6"/>
      <c r="O58" s="6">
        <v>0.16932923752784587</v>
      </c>
      <c r="P58" s="6">
        <v>0.36153353935683596</v>
      </c>
      <c r="Q58" s="6">
        <v>5.0539390567246453E-3</v>
      </c>
      <c r="R58" s="6">
        <v>0.57490857743074586</v>
      </c>
      <c r="S58" s="9"/>
    </row>
    <row r="59" spans="1:19" x14ac:dyDescent="0.25">
      <c r="A59">
        <v>1852</v>
      </c>
      <c r="B59" s="6">
        <v>21.96151990161016</v>
      </c>
      <c r="C59" s="6">
        <v>0.34426856150087881</v>
      </c>
      <c r="D59" s="6"/>
      <c r="E59" s="6">
        <v>0.32854508853269004</v>
      </c>
      <c r="F59" s="6">
        <v>0.20231034231603032</v>
      </c>
      <c r="G59" s="6">
        <v>0.19386444652243703</v>
      </c>
      <c r="H59" s="6">
        <v>1.9708384075007503</v>
      </c>
      <c r="I59" s="6"/>
      <c r="J59" s="6"/>
      <c r="K59" s="6"/>
      <c r="L59" s="6">
        <v>62.451171359281069</v>
      </c>
      <c r="M59" s="6">
        <v>0.36139584306168432</v>
      </c>
      <c r="N59" s="6"/>
      <c r="O59" s="6">
        <v>0.13721211793354401</v>
      </c>
      <c r="P59" s="6">
        <v>0.43176815782847761</v>
      </c>
      <c r="Q59" s="6">
        <v>4.9963001815573381E-3</v>
      </c>
      <c r="R59" s="6">
        <v>0.93841572516034522</v>
      </c>
      <c r="S59" s="9"/>
    </row>
    <row r="60" spans="1:19" x14ac:dyDescent="0.25">
      <c r="A60">
        <v>1853</v>
      </c>
      <c r="B60" s="6">
        <v>50.73514081910303</v>
      </c>
      <c r="C60" s="6">
        <v>0.48002849607746106</v>
      </c>
      <c r="D60" s="6"/>
      <c r="E60" s="6">
        <v>0.43789592422568718</v>
      </c>
      <c r="F60" s="6">
        <v>0.4453329015053813</v>
      </c>
      <c r="G60" s="6">
        <v>0.11178398322716512</v>
      </c>
      <c r="H60" s="6">
        <v>2.4626267905917985</v>
      </c>
      <c r="I60" s="6"/>
      <c r="J60" s="6"/>
      <c r="K60" s="6"/>
      <c r="L60" s="6">
        <v>67.3945781644844</v>
      </c>
      <c r="M60" s="6">
        <v>0.23090032419473736</v>
      </c>
      <c r="N60" s="6"/>
      <c r="O60" s="6">
        <v>8.4964832837801804E-2</v>
      </c>
      <c r="P60" s="6">
        <v>0.15384027225917388</v>
      </c>
      <c r="Q60" s="6">
        <v>3.2117542955503453E-3</v>
      </c>
      <c r="R60" s="6">
        <v>1.5874368076970522</v>
      </c>
      <c r="S60" s="9"/>
    </row>
    <row r="61" spans="1:19" x14ac:dyDescent="0.25">
      <c r="A61">
        <v>1854</v>
      </c>
      <c r="B61" s="6">
        <v>70.210718104078367</v>
      </c>
      <c r="C61" s="6">
        <v>0.57233728198682499</v>
      </c>
      <c r="D61" s="6"/>
      <c r="E61" s="6">
        <v>0.46107064418091981</v>
      </c>
      <c r="F61" s="6">
        <v>0.76257066058206024</v>
      </c>
      <c r="G61" s="6">
        <v>0.22677795434024742</v>
      </c>
      <c r="H61" s="6">
        <v>3.3380092637901777</v>
      </c>
      <c r="I61" s="6"/>
      <c r="J61" s="6"/>
      <c r="K61" s="6"/>
      <c r="L61" s="6">
        <v>60.757567596396889</v>
      </c>
      <c r="M61" s="6">
        <v>0.25682922626106036</v>
      </c>
      <c r="N61" s="6"/>
      <c r="O61" s="6">
        <v>9.9523246397861559E-2</v>
      </c>
      <c r="P61" s="6">
        <v>0.20933074730990742</v>
      </c>
      <c r="Q61" s="6">
        <v>4.6023360443812394E-3</v>
      </c>
      <c r="R61" s="6">
        <v>2.5214290837049091</v>
      </c>
      <c r="S61" s="9"/>
    </row>
    <row r="62" spans="1:19" x14ac:dyDescent="0.25">
      <c r="A62">
        <v>1855</v>
      </c>
      <c r="B62" s="6">
        <v>49.205166945200602</v>
      </c>
      <c r="C62" s="6">
        <v>0.5566965422941007</v>
      </c>
      <c r="D62" s="6"/>
      <c r="E62" s="6">
        <v>0.40536102915712235</v>
      </c>
      <c r="F62" s="6">
        <v>0.75004319784110829</v>
      </c>
      <c r="G62" s="6">
        <v>0.23864138494566406</v>
      </c>
      <c r="H62" s="6">
        <v>3.2845328561108982</v>
      </c>
      <c r="I62" s="6"/>
      <c r="J62" s="6"/>
      <c r="K62" s="6"/>
      <c r="L62" s="6">
        <v>71.654666142540933</v>
      </c>
      <c r="M62" s="6">
        <v>0.18595031086790931</v>
      </c>
      <c r="N62" s="6"/>
      <c r="O62" s="6">
        <v>0.1067970116433017</v>
      </c>
      <c r="P62" s="6">
        <v>0.16129824317172423</v>
      </c>
      <c r="Q62" s="6">
        <v>3.2578287558283582E-3</v>
      </c>
      <c r="R62" s="6">
        <v>2.1495759636466421</v>
      </c>
      <c r="S62" s="9"/>
    </row>
    <row r="63" spans="1:19" x14ac:dyDescent="0.25">
      <c r="A63">
        <v>1856</v>
      </c>
      <c r="B63" s="6">
        <v>59.294789810912121</v>
      </c>
      <c r="C63" s="6">
        <v>0.49149883254418353</v>
      </c>
      <c r="D63" s="6"/>
      <c r="E63" s="6">
        <v>0.3581174329137054</v>
      </c>
      <c r="F63" s="6">
        <v>0.55798657447905009</v>
      </c>
      <c r="G63" s="6">
        <v>0.26813931181340456</v>
      </c>
      <c r="H63" s="6">
        <v>3.0301442400655514</v>
      </c>
      <c r="I63" s="6"/>
      <c r="J63" s="6"/>
      <c r="K63" s="6"/>
      <c r="L63" s="6">
        <v>70.313954290787848</v>
      </c>
      <c r="M63" s="6">
        <v>0.17723022396658186</v>
      </c>
      <c r="N63" s="6"/>
      <c r="O63" s="6">
        <v>8.8891331455946035E-2</v>
      </c>
      <c r="P63" s="6">
        <v>0.10845969611197766</v>
      </c>
      <c r="Q63" s="6">
        <v>2.4739584113739133E-3</v>
      </c>
      <c r="R63" s="6">
        <v>1.5251331655546108</v>
      </c>
      <c r="S63" s="9"/>
    </row>
    <row r="64" spans="1:19" x14ac:dyDescent="0.25">
      <c r="A64">
        <v>1857</v>
      </c>
      <c r="B64" s="6">
        <v>70.899808388363056</v>
      </c>
      <c r="C64" s="6">
        <v>0.49042894990460867</v>
      </c>
      <c r="D64" s="6"/>
      <c r="E64" s="6">
        <v>0.39900988646066871</v>
      </c>
      <c r="F64" s="6">
        <v>0.5454886625117229</v>
      </c>
      <c r="G64" s="6">
        <v>0.2303346024320477</v>
      </c>
      <c r="H64" s="6">
        <v>4.1104142597007627</v>
      </c>
      <c r="I64" s="6"/>
      <c r="J64" s="6"/>
      <c r="K64" s="6"/>
      <c r="L64" s="6">
        <v>62.624412668233582</v>
      </c>
      <c r="M64" s="6">
        <v>0.19798675193975104</v>
      </c>
      <c r="N64" s="6"/>
      <c r="O64" s="6">
        <v>0.10261782174125346</v>
      </c>
      <c r="P64" s="6">
        <v>0.13248363222646789</v>
      </c>
      <c r="Q64" s="6">
        <v>2.5318391526418494E-3</v>
      </c>
      <c r="R64" s="6">
        <v>2.4626696706471498</v>
      </c>
      <c r="S64" s="9"/>
    </row>
    <row r="65" spans="1:19" x14ac:dyDescent="0.25">
      <c r="A65">
        <v>1858</v>
      </c>
      <c r="B65" s="6">
        <v>76.337736310217011</v>
      </c>
      <c r="C65" s="6">
        <v>0.51541768138568234</v>
      </c>
      <c r="D65" s="6"/>
      <c r="E65" s="6">
        <v>0.44488857059398923</v>
      </c>
      <c r="F65" s="6">
        <v>0.37526679003002889</v>
      </c>
      <c r="G65" s="6">
        <v>0.22540864516570758</v>
      </c>
      <c r="H65" s="6">
        <v>4.9025439151561558</v>
      </c>
      <c r="I65" s="6"/>
      <c r="J65" s="6"/>
      <c r="K65" s="6"/>
      <c r="L65" s="6">
        <v>70.744438699793662</v>
      </c>
      <c r="M65" s="6">
        <v>0.2846032082257362</v>
      </c>
      <c r="N65" s="6"/>
      <c r="O65" s="6">
        <v>0.14545296557456411</v>
      </c>
      <c r="P65" s="6">
        <v>0.17102084833055323</v>
      </c>
      <c r="Q65" s="6">
        <v>3.8701312426860203E-3</v>
      </c>
      <c r="R65" s="6">
        <v>3.1008476752838523</v>
      </c>
      <c r="S65" s="9"/>
    </row>
    <row r="66" spans="1:19" x14ac:dyDescent="0.25">
      <c r="A66">
        <v>1859</v>
      </c>
      <c r="B66" s="6">
        <v>78.446550663928775</v>
      </c>
      <c r="C66" s="6">
        <v>0.64366415304807567</v>
      </c>
      <c r="D66" s="6"/>
      <c r="E66" s="6">
        <v>0.59278204255604228</v>
      </c>
      <c r="F66" s="6">
        <v>0.90143920892314089</v>
      </c>
      <c r="G66" s="6">
        <v>0.35238030663015946</v>
      </c>
      <c r="H66" s="6">
        <v>6.3832380145961141</v>
      </c>
      <c r="I66" s="6"/>
      <c r="J66" s="6"/>
      <c r="K66" s="6"/>
      <c r="L66" s="6">
        <v>73.821356916306257</v>
      </c>
      <c r="M66" s="6">
        <v>0.38166578137245677</v>
      </c>
      <c r="N66" s="6"/>
      <c r="O66" s="6">
        <v>0.15334184132339521</v>
      </c>
      <c r="P66" s="6">
        <v>0.32737271157023234</v>
      </c>
      <c r="Q66" s="6">
        <v>5.099024250875322E-3</v>
      </c>
      <c r="R66" s="6">
        <v>3.6513645844704978</v>
      </c>
      <c r="S66" s="9"/>
    </row>
    <row r="67" spans="1:19" x14ac:dyDescent="0.25">
      <c r="A67">
        <v>1860</v>
      </c>
      <c r="B67" s="6">
        <v>72.900025971609196</v>
      </c>
      <c r="C67" s="6">
        <v>0.48609998206677069</v>
      </c>
      <c r="D67" s="6"/>
      <c r="E67" s="6">
        <v>0.43499258031944044</v>
      </c>
      <c r="F67" s="6">
        <v>0.8891813950126779</v>
      </c>
      <c r="G67" s="6">
        <v>0.2109404371688561</v>
      </c>
      <c r="H67" s="6">
        <v>6.3360342407513981</v>
      </c>
      <c r="I67" s="6"/>
      <c r="J67" s="6"/>
      <c r="K67" s="6"/>
      <c r="L67" s="6">
        <v>65.317096416933211</v>
      </c>
      <c r="M67" s="6">
        <v>0.27293281364897742</v>
      </c>
      <c r="N67" s="6"/>
      <c r="O67" s="6">
        <v>0.12170759251377349</v>
      </c>
      <c r="P67" s="6">
        <v>0.23146667489288938</v>
      </c>
      <c r="Q67" s="6">
        <v>4.6235498886469332E-3</v>
      </c>
      <c r="R67" s="6">
        <v>1.5391521640793109</v>
      </c>
      <c r="S67" s="9"/>
    </row>
    <row r="68" spans="1:19" x14ac:dyDescent="0.25">
      <c r="A68">
        <v>1861</v>
      </c>
      <c r="B68" s="6">
        <v>66.97222505228865</v>
      </c>
      <c r="C68" s="6">
        <v>0.32952223480333992</v>
      </c>
      <c r="D68" s="6"/>
      <c r="E68" s="6">
        <v>0.26352480388220956</v>
      </c>
      <c r="F68" s="6">
        <v>0.27818320206491154</v>
      </c>
      <c r="G68" s="6">
        <v>0.14196421399633946</v>
      </c>
      <c r="H68" s="6">
        <v>10.918388629139875</v>
      </c>
      <c r="I68" s="6"/>
      <c r="J68" s="6"/>
      <c r="K68" s="6"/>
      <c r="L68" s="6">
        <v>72.388752763941497</v>
      </c>
      <c r="M68" s="6">
        <v>0.26644201774074955</v>
      </c>
      <c r="N68" s="6"/>
      <c r="O68" s="6">
        <v>0.11580228281404452</v>
      </c>
      <c r="P68" s="6">
        <v>0.14406135304355397</v>
      </c>
      <c r="Q68" s="6">
        <v>4.7902393116307108E-3</v>
      </c>
      <c r="R68" s="6">
        <v>6.0143897007931812</v>
      </c>
      <c r="S68" s="9"/>
    </row>
    <row r="69" spans="1:19" x14ac:dyDescent="0.25">
      <c r="A69">
        <v>1862</v>
      </c>
      <c r="B69" s="6">
        <v>80.267887875035882</v>
      </c>
      <c r="C69" s="6">
        <v>0.45724147369638973</v>
      </c>
      <c r="D69" s="6"/>
      <c r="E69" s="6">
        <v>0.35444622296746381</v>
      </c>
      <c r="F69" s="6">
        <v>0.42532175140240952</v>
      </c>
      <c r="G69" s="6">
        <v>0.25323643438398974</v>
      </c>
      <c r="H69" s="6">
        <v>20.604480514303894</v>
      </c>
      <c r="I69" s="6"/>
      <c r="J69" s="6"/>
      <c r="K69" s="6"/>
      <c r="L69" s="6">
        <v>75.351780390320954</v>
      </c>
      <c r="M69" s="6">
        <v>0.34894976534219702</v>
      </c>
      <c r="N69" s="6"/>
      <c r="O69" s="6">
        <v>0.14375410262995691</v>
      </c>
      <c r="P69" s="6">
        <v>0.20458744827966241</v>
      </c>
      <c r="Q69" s="6">
        <v>7.1878880966616395E-3</v>
      </c>
      <c r="R69" s="6">
        <v>12.446067019353841</v>
      </c>
      <c r="S69" s="9"/>
    </row>
    <row r="70" spans="1:19" x14ac:dyDescent="0.25">
      <c r="A70">
        <v>1863</v>
      </c>
      <c r="B70" s="6">
        <v>90.341540714669662</v>
      </c>
      <c r="C70" s="6">
        <v>0.54835465918360282</v>
      </c>
      <c r="D70" s="6"/>
      <c r="E70" s="6">
        <v>0.41828905118981441</v>
      </c>
      <c r="F70" s="6">
        <v>0.39808364258355866</v>
      </c>
      <c r="G70" s="6">
        <v>0.33091714105543996</v>
      </c>
      <c r="H70" s="6">
        <v>30.713618141722534</v>
      </c>
      <c r="I70" s="6"/>
      <c r="J70" s="6"/>
      <c r="K70" s="6"/>
      <c r="L70" s="6">
        <v>78.62188506091411</v>
      </c>
      <c r="M70" s="6">
        <v>0.46425158193661181</v>
      </c>
      <c r="N70" s="6"/>
      <c r="O70" s="6">
        <v>0.15246924933643033</v>
      </c>
      <c r="P70" s="6">
        <v>0.21306305955504076</v>
      </c>
      <c r="Q70" s="6">
        <v>8.5376804386436324E-3</v>
      </c>
      <c r="R70" s="6">
        <v>29.824029052334247</v>
      </c>
      <c r="S70" s="9"/>
    </row>
    <row r="71" spans="1:19" x14ac:dyDescent="0.25">
      <c r="A71">
        <v>1864</v>
      </c>
      <c r="B71" s="6">
        <v>91.837663349171748</v>
      </c>
      <c r="C71" s="6">
        <v>0.81393792927964148</v>
      </c>
      <c r="D71" s="6"/>
      <c r="E71" s="6">
        <v>0.62830750529968282</v>
      </c>
      <c r="F71" s="6">
        <v>0.74004620005662103</v>
      </c>
      <c r="G71" s="6">
        <v>0.43841061757577282</v>
      </c>
      <c r="H71" s="6">
        <v>30.430154616406249</v>
      </c>
      <c r="I71" s="6"/>
      <c r="J71" s="6"/>
      <c r="K71" s="6"/>
      <c r="L71" s="6">
        <v>69.386054529537731</v>
      </c>
      <c r="M71" s="6">
        <v>0.81657219580112927</v>
      </c>
      <c r="N71" s="6"/>
      <c r="O71" s="6">
        <v>0.24727295969399521</v>
      </c>
      <c r="P71" s="6">
        <v>0.57227230185451716</v>
      </c>
      <c r="Q71" s="6">
        <v>1.1958392836514521E-2</v>
      </c>
      <c r="R71" s="6">
        <v>19.150567047963616</v>
      </c>
      <c r="S71" s="9"/>
    </row>
    <row r="72" spans="1:19" x14ac:dyDescent="0.25">
      <c r="A72">
        <v>1865</v>
      </c>
      <c r="B72" s="6">
        <v>92.699140907483567</v>
      </c>
      <c r="C72" s="6">
        <v>0.93046991522031197</v>
      </c>
      <c r="D72" s="6"/>
      <c r="E72" s="6">
        <v>0.76675640143474966</v>
      </c>
      <c r="F72" s="6">
        <v>0.93061392582273594</v>
      </c>
      <c r="G72" s="6">
        <v>0.53228867208033614</v>
      </c>
      <c r="H72" s="6">
        <v>24.49387069338027</v>
      </c>
      <c r="I72" s="6"/>
      <c r="J72" s="6"/>
      <c r="K72" s="6"/>
      <c r="L72" s="6">
        <v>72.670295781690896</v>
      </c>
      <c r="M72" s="6">
        <v>0.9459292875107288</v>
      </c>
      <c r="N72" s="6"/>
      <c r="O72" s="6">
        <v>0.32894442448129357</v>
      </c>
      <c r="P72" s="6">
        <v>0.66620677282575602</v>
      </c>
      <c r="Q72" s="6">
        <v>1.6828497365904391E-2</v>
      </c>
      <c r="R72" s="6">
        <v>21.223221866206142</v>
      </c>
      <c r="S72" s="9"/>
    </row>
    <row r="73" spans="1:19" x14ac:dyDescent="0.25">
      <c r="A73">
        <v>1866</v>
      </c>
      <c r="B73" s="6">
        <v>84.266963908081479</v>
      </c>
      <c r="C73" s="6">
        <v>0.86868291461249292</v>
      </c>
      <c r="D73" s="6"/>
      <c r="E73" s="6">
        <v>0.7248388291486576</v>
      </c>
      <c r="F73" s="6">
        <v>0.93095911248650864</v>
      </c>
      <c r="G73" s="6">
        <v>0.43275535316777614</v>
      </c>
      <c r="H73" s="6">
        <v>24.365309029764202</v>
      </c>
      <c r="I73" s="6"/>
      <c r="J73" s="6"/>
      <c r="K73" s="6"/>
      <c r="L73" s="6">
        <v>73.099096325111518</v>
      </c>
      <c r="M73" s="6">
        <v>1.0677098688147402</v>
      </c>
      <c r="N73" s="6"/>
      <c r="O73" s="6">
        <v>0.40087461294327159</v>
      </c>
      <c r="P73" s="6">
        <v>0.92210228167471686</v>
      </c>
      <c r="Q73" s="6">
        <v>1.8905134151942376E-2</v>
      </c>
      <c r="R73" s="6">
        <v>33.225905224466139</v>
      </c>
      <c r="S73" s="9"/>
    </row>
    <row r="74" spans="1:19" x14ac:dyDescent="0.25">
      <c r="A74">
        <v>1867</v>
      </c>
      <c r="B74" s="6">
        <v>56.251892147122895</v>
      </c>
      <c r="C74" s="6">
        <v>0.83978486057541513</v>
      </c>
      <c r="D74" s="6"/>
      <c r="E74" s="6">
        <v>0.63913392573490135</v>
      </c>
      <c r="F74" s="6">
        <v>0.92724715471815322</v>
      </c>
      <c r="G74" s="6">
        <v>0.4400627641160012</v>
      </c>
      <c r="H74" s="6">
        <v>22.527956254794468</v>
      </c>
      <c r="I74" s="6"/>
      <c r="J74" s="6"/>
      <c r="K74" s="6"/>
      <c r="L74" s="6">
        <v>78.36734079636507</v>
      </c>
      <c r="M74" s="6">
        <v>0.82285897141779252</v>
      </c>
      <c r="N74" s="6"/>
      <c r="O74" s="6">
        <v>0.39208701353899134</v>
      </c>
      <c r="P74" s="6">
        <v>0.53680263342649115</v>
      </c>
      <c r="Q74" s="6">
        <v>1.4898301489177049E-2</v>
      </c>
      <c r="R74" s="6">
        <v>28.576858329621739</v>
      </c>
      <c r="S74" s="9"/>
    </row>
    <row r="75" spans="1:19" x14ac:dyDescent="0.25">
      <c r="A75">
        <v>1868</v>
      </c>
      <c r="B75" s="6">
        <v>66.508031211444816</v>
      </c>
      <c r="C75" s="6">
        <v>0.87037091653912813</v>
      </c>
      <c r="D75" s="6"/>
      <c r="E75" s="6">
        <v>0.66238933900893127</v>
      </c>
      <c r="F75" s="6">
        <v>0.89280643020133199</v>
      </c>
      <c r="G75" s="6">
        <v>0.41438662621966038</v>
      </c>
      <c r="H75" s="6">
        <v>21.587724647470907</v>
      </c>
      <c r="I75" s="6"/>
      <c r="J75" s="6"/>
      <c r="K75" s="6"/>
      <c r="L75" s="6">
        <v>99.210839064323821</v>
      </c>
      <c r="M75" s="6">
        <v>0.9687607958786657</v>
      </c>
      <c r="N75" s="6"/>
      <c r="O75" s="6">
        <v>0.514088449953091</v>
      </c>
      <c r="P75" s="6">
        <v>0.57386453296976014</v>
      </c>
      <c r="Q75" s="6">
        <v>1.5773053328315745E-2</v>
      </c>
      <c r="R75" s="6">
        <v>25.443121401981308</v>
      </c>
      <c r="S75" s="9"/>
    </row>
    <row r="76" spans="1:19" x14ac:dyDescent="0.25">
      <c r="A76">
        <v>1869</v>
      </c>
      <c r="B76" s="6">
        <v>82.93359710123049</v>
      </c>
      <c r="C76" s="6">
        <v>0.95746372766253052</v>
      </c>
      <c r="D76" s="6"/>
      <c r="E76" s="6">
        <v>0.791430432043573</v>
      </c>
      <c r="F76" s="6">
        <v>1.04919622292843</v>
      </c>
      <c r="G76" s="6">
        <v>0.436122285102087</v>
      </c>
      <c r="H76" s="6">
        <v>21.401096252330198</v>
      </c>
      <c r="I76" s="6"/>
      <c r="J76" s="6"/>
      <c r="K76" s="6"/>
      <c r="L76" s="6">
        <v>92.339905707320554</v>
      </c>
      <c r="M76" s="6">
        <v>1.0685318565792039</v>
      </c>
      <c r="N76" s="6"/>
      <c r="O76" s="6">
        <v>0.58243179794262823</v>
      </c>
      <c r="P76" s="6">
        <v>0.89376674021175495</v>
      </c>
      <c r="Q76" s="6">
        <v>1.8281594809682118E-2</v>
      </c>
      <c r="R76" s="6">
        <v>29.535550045060791</v>
      </c>
      <c r="S76" s="9"/>
    </row>
    <row r="77" spans="1:19" x14ac:dyDescent="0.25">
      <c r="A77">
        <v>1870</v>
      </c>
      <c r="B77" s="6">
        <v>74.926605939500419</v>
      </c>
      <c r="C77" s="6">
        <v>0.89435038899881447</v>
      </c>
      <c r="D77" s="6"/>
      <c r="E77" s="6">
        <v>0.80606110617258786</v>
      </c>
      <c r="F77" s="6">
        <v>1.1099265146068902</v>
      </c>
      <c r="G77" s="6">
        <v>0.45198246276604076</v>
      </c>
      <c r="H77" s="6">
        <v>19.693804175746415</v>
      </c>
      <c r="I77" s="6"/>
      <c r="J77" s="6"/>
      <c r="K77" s="6"/>
      <c r="L77" s="6">
        <v>87.470408731708673</v>
      </c>
      <c r="M77" s="6">
        <v>0.95607939638500383</v>
      </c>
      <c r="N77" s="6"/>
      <c r="O77" s="6">
        <v>0.50540911711548642</v>
      </c>
      <c r="P77" s="6">
        <v>0.77300319927690797</v>
      </c>
      <c r="Q77" s="6">
        <v>2.2989819987901863E-2</v>
      </c>
      <c r="R77" s="6">
        <v>24.557198850458715</v>
      </c>
      <c r="S77" s="9"/>
    </row>
    <row r="78" spans="1:19" x14ac:dyDescent="0.25">
      <c r="A78">
        <v>1871</v>
      </c>
      <c r="B78" s="6">
        <v>71.190354923665069</v>
      </c>
      <c r="C78" s="6">
        <v>0.75765951227411632</v>
      </c>
      <c r="D78" s="6"/>
      <c r="E78" s="6">
        <v>0.65140687578063983</v>
      </c>
      <c r="F78" s="6">
        <v>0.70885418169233394</v>
      </c>
      <c r="G78" s="6">
        <v>0.3348232276339585</v>
      </c>
      <c r="H78" s="6">
        <v>17.233239968307732</v>
      </c>
      <c r="I78" s="6"/>
      <c r="J78" s="6"/>
      <c r="K78" s="6"/>
      <c r="L78" s="6">
        <v>86.318497776999877</v>
      </c>
      <c r="M78" s="6">
        <v>0.86844513156425307</v>
      </c>
      <c r="N78" s="6"/>
      <c r="O78" s="6">
        <v>0.3568583106332533</v>
      </c>
      <c r="P78" s="6">
        <v>0.77599160986872828</v>
      </c>
      <c r="Q78" s="6">
        <v>1.5247891380754115E-2</v>
      </c>
      <c r="R78" s="6">
        <v>51.786866791657893</v>
      </c>
      <c r="S78" s="9"/>
    </row>
    <row r="79" spans="1:19" x14ac:dyDescent="0.25">
      <c r="A79">
        <v>1872</v>
      </c>
      <c r="B79" s="6">
        <v>75.318974136200666</v>
      </c>
      <c r="C79" s="6">
        <v>0.76704800485660307</v>
      </c>
      <c r="D79" s="6"/>
      <c r="E79" s="6">
        <v>0.63670568479024525</v>
      </c>
      <c r="F79" s="6">
        <v>0.92993747836297258</v>
      </c>
      <c r="G79" s="6">
        <v>0.43177976668038925</v>
      </c>
      <c r="H79" s="6">
        <v>19.787772565418127</v>
      </c>
      <c r="I79" s="6"/>
      <c r="J79" s="6"/>
      <c r="K79" s="6"/>
      <c r="L79" s="6">
        <v>98.178028469887664</v>
      </c>
      <c r="M79" s="6">
        <v>0.80966668223878424</v>
      </c>
      <c r="N79" s="6"/>
      <c r="O79" s="6">
        <v>0.23678570364866211</v>
      </c>
      <c r="P79" s="6">
        <v>0.48189275800998044</v>
      </c>
      <c r="Q79" s="6">
        <v>1.2146462830393275E-2</v>
      </c>
      <c r="R79" s="6">
        <v>30.46373166850665</v>
      </c>
      <c r="S79" s="9"/>
    </row>
    <row r="80" spans="1:19" x14ac:dyDescent="0.25">
      <c r="A80">
        <v>1873</v>
      </c>
      <c r="B80" s="6">
        <v>96.843936435130658</v>
      </c>
      <c r="C80" s="6">
        <v>0.58834765385835286</v>
      </c>
      <c r="D80" s="6"/>
      <c r="E80" s="6">
        <v>0.49079666216839996</v>
      </c>
      <c r="F80" s="6">
        <v>0.63762490930112758</v>
      </c>
      <c r="G80" s="6">
        <v>0.3254612844642864</v>
      </c>
      <c r="H80" s="6">
        <v>22.823382612485634</v>
      </c>
      <c r="I80" s="6"/>
      <c r="J80" s="6"/>
      <c r="K80" s="6"/>
      <c r="L80" s="6">
        <v>108.46655275726137</v>
      </c>
      <c r="M80" s="6">
        <v>1.0237422051688319</v>
      </c>
      <c r="N80" s="6"/>
      <c r="O80" s="6">
        <v>0.25865990075262973</v>
      </c>
      <c r="P80" s="6">
        <v>0.89766367921051604</v>
      </c>
      <c r="Q80" s="6">
        <v>1.7813739565484113E-2</v>
      </c>
      <c r="R80" s="6">
        <v>39.070116794159709</v>
      </c>
      <c r="S80" s="9"/>
    </row>
    <row r="81" spans="1:19" x14ac:dyDescent="0.25">
      <c r="A81">
        <v>1874</v>
      </c>
      <c r="B81" s="6">
        <v>97.692110823210555</v>
      </c>
      <c r="C81" s="6">
        <v>0.55678744121791945</v>
      </c>
      <c r="D81" s="6"/>
      <c r="E81" s="6">
        <v>0.48838674338650712</v>
      </c>
      <c r="F81" s="6">
        <v>0.43487643874182252</v>
      </c>
      <c r="G81" s="6">
        <v>0.26768805945608365</v>
      </c>
      <c r="H81" s="6">
        <v>29.564263520204189</v>
      </c>
      <c r="I81" s="6"/>
      <c r="J81" s="6"/>
      <c r="K81" s="6"/>
      <c r="L81" s="6">
        <v>106.48449812494287</v>
      </c>
      <c r="M81" s="6">
        <v>0.8963812590126462</v>
      </c>
      <c r="N81" s="6"/>
      <c r="O81" s="6">
        <v>0.23124040215163161</v>
      </c>
      <c r="P81" s="6">
        <v>0.57508430544279465</v>
      </c>
      <c r="Q81" s="6">
        <v>1.6742488300944613E-2</v>
      </c>
      <c r="R81" s="6">
        <v>34.201622680678149</v>
      </c>
      <c r="S81" s="9"/>
    </row>
    <row r="82" spans="1:19" x14ac:dyDescent="0.25">
      <c r="A82">
        <v>1875</v>
      </c>
      <c r="B82" s="6">
        <v>105.29645481096622</v>
      </c>
      <c r="C82" s="6">
        <v>0.79180059517236567</v>
      </c>
      <c r="D82" s="6"/>
      <c r="E82" s="6">
        <v>0.7756726941708153</v>
      </c>
      <c r="F82" s="6">
        <v>0.71331548739557848</v>
      </c>
      <c r="G82" s="6">
        <v>0.43087522025520031</v>
      </c>
      <c r="H82" s="6">
        <v>31.619604498263193</v>
      </c>
      <c r="I82" s="6"/>
      <c r="J82" s="6"/>
      <c r="K82" s="6"/>
      <c r="L82" s="6">
        <v>104.11729148262094</v>
      </c>
      <c r="M82" s="6">
        <v>1.0140286715117028</v>
      </c>
      <c r="N82" s="6"/>
      <c r="O82" s="6">
        <v>0.27516418378137952</v>
      </c>
      <c r="P82" s="6">
        <v>0.68542894369832352</v>
      </c>
      <c r="Q82" s="6">
        <v>1.9690297396859225E-2</v>
      </c>
      <c r="R82" s="6">
        <v>36.259499282430674</v>
      </c>
      <c r="S82" s="9"/>
    </row>
    <row r="83" spans="1:19" x14ac:dyDescent="0.25">
      <c r="A83">
        <v>1876</v>
      </c>
      <c r="B83" s="6">
        <v>103.01133581261554</v>
      </c>
      <c r="C83" s="6">
        <v>0.64237608862301754</v>
      </c>
      <c r="D83" s="6"/>
      <c r="E83" s="6">
        <v>0.82358964935565737</v>
      </c>
      <c r="F83" s="6">
        <v>0.59658259847373596</v>
      </c>
      <c r="G83" s="6">
        <v>0.34115649553149824</v>
      </c>
      <c r="H83" s="6">
        <v>27.788289486190585</v>
      </c>
      <c r="I83" s="6"/>
      <c r="J83" s="6"/>
      <c r="K83" s="6"/>
      <c r="L83" s="6">
        <v>103.48962890352581</v>
      </c>
      <c r="M83" s="6">
        <v>1.0542848397152758</v>
      </c>
      <c r="N83" s="6"/>
      <c r="O83" s="6">
        <v>0.31955720452758557</v>
      </c>
      <c r="P83" s="6">
        <v>0.62211460273187147</v>
      </c>
      <c r="Q83" s="6">
        <v>2.1960324423734204E-2</v>
      </c>
      <c r="R83" s="6">
        <v>33.514247119982521</v>
      </c>
      <c r="S83" s="9"/>
    </row>
    <row r="84" spans="1:19" x14ac:dyDescent="0.25">
      <c r="A84">
        <v>1877</v>
      </c>
      <c r="B84" s="6">
        <v>115.3295550096133</v>
      </c>
      <c r="C84" s="6">
        <v>0.90581056815864691</v>
      </c>
      <c r="D84" s="6"/>
      <c r="E84" s="6">
        <v>1.1225824381232707</v>
      </c>
      <c r="F84" s="6">
        <v>1.0182467901828349</v>
      </c>
      <c r="G84" s="6">
        <v>0.51081513897156761</v>
      </c>
      <c r="H84" s="6">
        <v>28.578196061007681</v>
      </c>
      <c r="I84" s="6"/>
      <c r="J84" s="6"/>
      <c r="K84" s="6"/>
      <c r="L84" s="6">
        <v>110.77892054707718</v>
      </c>
      <c r="M84" s="6">
        <v>1.3217993865190614</v>
      </c>
      <c r="N84" s="6"/>
      <c r="O84" s="6">
        <v>0.36082654689125632</v>
      </c>
      <c r="P84" s="6">
        <v>0.61943926609970057</v>
      </c>
      <c r="Q84" s="6">
        <v>2.2594648721041215E-2</v>
      </c>
      <c r="R84" s="6">
        <v>41.822895634812632</v>
      </c>
      <c r="S84" s="9"/>
    </row>
    <row r="85" spans="1:19" x14ac:dyDescent="0.25">
      <c r="A85">
        <v>1878</v>
      </c>
      <c r="B85" s="6">
        <v>118.00507053691631</v>
      </c>
      <c r="C85" s="6">
        <v>0.97998487784189903</v>
      </c>
      <c r="D85" s="6"/>
      <c r="E85" s="6">
        <v>1.5362691693799446</v>
      </c>
      <c r="F85" s="6">
        <v>1.2324459068430791</v>
      </c>
      <c r="G85" s="6">
        <v>0.77352755149961305</v>
      </c>
      <c r="H85" s="6">
        <v>37.517688868554785</v>
      </c>
      <c r="I85" s="6"/>
      <c r="J85" s="6"/>
      <c r="K85" s="6"/>
      <c r="L85" s="6">
        <v>114.46855219098147</v>
      </c>
      <c r="M85" s="6">
        <v>1.6126836965812619</v>
      </c>
      <c r="N85" s="6"/>
      <c r="O85" s="6">
        <v>0.5996018392973439</v>
      </c>
      <c r="P85" s="6">
        <v>0.88803149067772758</v>
      </c>
      <c r="Q85" s="6">
        <v>3.2719514991045168E-2</v>
      </c>
      <c r="R85" s="6">
        <v>33.791309016043414</v>
      </c>
      <c r="S85" s="9"/>
    </row>
    <row r="86" spans="1:19" x14ac:dyDescent="0.25">
      <c r="A86">
        <v>1879</v>
      </c>
      <c r="B86" s="6">
        <v>114.17121982773175</v>
      </c>
      <c r="C86" s="6">
        <v>1.067020094053253</v>
      </c>
      <c r="D86" s="6"/>
      <c r="E86" s="6">
        <v>1.8792672522214195</v>
      </c>
      <c r="F86" s="6">
        <v>1.9404323072802703</v>
      </c>
      <c r="G86" s="6">
        <v>1.1606157896311546</v>
      </c>
      <c r="H86" s="6">
        <v>36.999320274063251</v>
      </c>
      <c r="I86" s="6"/>
      <c r="J86" s="6"/>
      <c r="K86" s="6"/>
      <c r="L86" s="6">
        <v>98.291138733672497</v>
      </c>
      <c r="M86" s="6">
        <v>1.4893853457828354</v>
      </c>
      <c r="N86" s="6"/>
      <c r="O86" s="6">
        <v>0.68599230686601831</v>
      </c>
      <c r="P86" s="6">
        <v>0.79860774529631018</v>
      </c>
      <c r="Q86" s="6">
        <v>3.606543491868288E-2</v>
      </c>
      <c r="R86" s="6">
        <v>33.25354268211138</v>
      </c>
      <c r="S86" s="9"/>
    </row>
    <row r="87" spans="1:19" x14ac:dyDescent="0.25">
      <c r="A87">
        <v>1880</v>
      </c>
      <c r="B87" s="6">
        <v>107.25048727272723</v>
      </c>
      <c r="C87" s="6">
        <v>1.7280728406014674</v>
      </c>
      <c r="D87" s="6"/>
      <c r="E87" s="6">
        <v>1.7595917219278481</v>
      </c>
      <c r="F87" s="6">
        <v>1.4492937032859707</v>
      </c>
      <c r="G87" s="6">
        <v>0.74829688755160328</v>
      </c>
      <c r="H87" s="6">
        <v>25.89149671940217</v>
      </c>
      <c r="I87" s="6"/>
      <c r="J87" s="6"/>
      <c r="K87" s="6"/>
      <c r="L87" s="6">
        <v>128.89563987915412</v>
      </c>
      <c r="M87" s="6">
        <v>2.0698841612484498</v>
      </c>
      <c r="N87" s="6"/>
      <c r="O87" s="6">
        <v>0.86322139150981647</v>
      </c>
      <c r="P87" s="6">
        <v>1.046627448591847</v>
      </c>
      <c r="Q87" s="6">
        <v>4.2775383813588128E-2</v>
      </c>
      <c r="R87" s="6">
        <v>38.774682852100369</v>
      </c>
      <c r="S87" s="9"/>
    </row>
    <row r="88" spans="1:19" x14ac:dyDescent="0.25">
      <c r="A88">
        <v>1881</v>
      </c>
      <c r="B88" s="6">
        <v>137.33671211582416</v>
      </c>
      <c r="C88" s="6">
        <v>2.4188139685861128</v>
      </c>
      <c r="D88" s="6"/>
      <c r="E88" s="6">
        <v>2.1821026474806495</v>
      </c>
      <c r="F88" s="6">
        <v>2.1146394082628261</v>
      </c>
      <c r="G88" s="6">
        <v>0.99359745049060644</v>
      </c>
      <c r="H88" s="6">
        <v>32.6464767061507</v>
      </c>
      <c r="I88" s="6"/>
      <c r="J88" s="6"/>
      <c r="K88" s="6"/>
      <c r="L88" s="6">
        <v>131.06321558673142</v>
      </c>
      <c r="M88" s="6">
        <v>1.7774601464756061</v>
      </c>
      <c r="N88" s="6"/>
      <c r="O88" s="6">
        <v>1.5304377260064621</v>
      </c>
      <c r="P88" s="6">
        <v>1.8954662009083791</v>
      </c>
      <c r="Q88" s="6">
        <v>6.3875368768183186E-2</v>
      </c>
      <c r="R88" s="6">
        <v>36.952602939024565</v>
      </c>
      <c r="S88" s="9"/>
    </row>
    <row r="89" spans="1:19" x14ac:dyDescent="0.25">
      <c r="A89">
        <v>1882</v>
      </c>
      <c r="B89" s="6">
        <v>171.44885215763031</v>
      </c>
      <c r="C89" s="6">
        <v>2.4232980941018294</v>
      </c>
      <c r="D89" s="6"/>
      <c r="E89" s="6">
        <v>2.3624101269946274</v>
      </c>
      <c r="F89" s="6">
        <v>2.2301147083240003</v>
      </c>
      <c r="G89" s="6">
        <v>0.99551635597803434</v>
      </c>
      <c r="H89" s="6">
        <v>37.438246454401742</v>
      </c>
      <c r="I89" s="6"/>
      <c r="J89" s="6"/>
      <c r="K89" s="6"/>
      <c r="L89" s="6">
        <v>125.99178036744347</v>
      </c>
      <c r="M89" s="6">
        <v>2.0349857339734765</v>
      </c>
      <c r="N89" s="6"/>
      <c r="O89" s="6">
        <v>2.4462625492996977</v>
      </c>
      <c r="P89" s="6">
        <v>3.0643079545543328</v>
      </c>
      <c r="Q89" s="6">
        <v>8.1766789171596715E-2</v>
      </c>
      <c r="R89" s="6">
        <v>39.69044583577012</v>
      </c>
      <c r="S89" s="9"/>
    </row>
    <row r="90" spans="1:19" x14ac:dyDescent="0.25">
      <c r="A90">
        <v>1883</v>
      </c>
      <c r="B90" s="6">
        <v>165.59463037169317</v>
      </c>
      <c r="C90" s="6">
        <v>3.6037359474174364</v>
      </c>
      <c r="D90" s="6"/>
      <c r="E90" s="6">
        <v>2.8335635526623588</v>
      </c>
      <c r="F90" s="6">
        <v>3.4914945846291872</v>
      </c>
      <c r="G90" s="6">
        <v>1.1551236079515903</v>
      </c>
      <c r="H90" s="6">
        <v>35.175061159689569</v>
      </c>
      <c r="I90" s="6"/>
      <c r="J90" s="6"/>
      <c r="K90" s="6"/>
      <c r="L90" s="6">
        <v>138.67861288338889</v>
      </c>
      <c r="M90" s="6">
        <v>3.3897063796274951</v>
      </c>
      <c r="N90" s="6"/>
      <c r="O90" s="6">
        <v>2.067224093316391</v>
      </c>
      <c r="P90" s="6">
        <v>2.5150528078049019</v>
      </c>
      <c r="Q90" s="6">
        <v>7.3240408466226078E-2</v>
      </c>
      <c r="R90" s="6">
        <v>43.011635521532448</v>
      </c>
      <c r="S90" s="9"/>
    </row>
    <row r="91" spans="1:19" x14ac:dyDescent="0.25">
      <c r="A91">
        <v>1884</v>
      </c>
      <c r="B91" s="6">
        <v>174.29605536226975</v>
      </c>
      <c r="C91" s="6">
        <v>3.529131167677769</v>
      </c>
      <c r="D91" s="6"/>
      <c r="E91" s="6">
        <v>2.5739970253671913</v>
      </c>
      <c r="F91" s="6">
        <v>2.5805359855305059</v>
      </c>
      <c r="G91" s="6">
        <v>1.2082984578765741</v>
      </c>
      <c r="H91" s="6">
        <v>35.194169104981938</v>
      </c>
      <c r="I91" s="6"/>
      <c r="J91" s="6"/>
      <c r="K91" s="6"/>
      <c r="L91" s="6">
        <v>133.63224624535323</v>
      </c>
      <c r="M91" s="6">
        <v>2.9313282175920743</v>
      </c>
      <c r="N91" s="6"/>
      <c r="O91" s="6">
        <v>1.8899863092330629</v>
      </c>
      <c r="P91" s="6">
        <v>2.5233194153076575</v>
      </c>
      <c r="Q91" s="6">
        <v>8.7454622354254649E-2</v>
      </c>
      <c r="R91" s="6">
        <v>43.769356121530897</v>
      </c>
      <c r="S91" s="9"/>
    </row>
    <row r="92" spans="1:19" x14ac:dyDescent="0.25">
      <c r="A92">
        <v>1885</v>
      </c>
      <c r="B92" s="6">
        <v>189.20274620385118</v>
      </c>
      <c r="C92" s="6">
        <v>2.490496959059056</v>
      </c>
      <c r="D92" s="6"/>
      <c r="E92" s="6">
        <v>2.5978795575039428</v>
      </c>
      <c r="F92" s="6">
        <v>2.602148789025418</v>
      </c>
      <c r="G92" s="6">
        <v>0.87318121473921639</v>
      </c>
      <c r="H92" s="6">
        <v>34.794299306207506</v>
      </c>
      <c r="I92" s="6"/>
      <c r="J92" s="6"/>
      <c r="K92" s="6"/>
      <c r="L92" s="6">
        <v>141.37528014248599</v>
      </c>
      <c r="M92" s="6">
        <v>3.4200024840151659</v>
      </c>
      <c r="N92" s="6"/>
      <c r="O92" s="6">
        <v>2.1069283454097505</v>
      </c>
      <c r="P92" s="6">
        <v>2.8172936900661014</v>
      </c>
      <c r="Q92" s="6">
        <v>9.913849651394338E-2</v>
      </c>
      <c r="R92" s="6">
        <v>40.948262328068786</v>
      </c>
      <c r="S92" s="9"/>
    </row>
    <row r="93" spans="1:19" x14ac:dyDescent="0.25">
      <c r="A93">
        <v>1886</v>
      </c>
      <c r="B93" s="6">
        <v>178.67326826343552</v>
      </c>
      <c r="C93" s="6">
        <v>2.0198517862004586</v>
      </c>
      <c r="D93" s="6"/>
      <c r="E93" s="6">
        <v>2.6053246163746495</v>
      </c>
      <c r="F93" s="6">
        <v>2.4002863211826266</v>
      </c>
      <c r="G93" s="6">
        <v>0.90667710166247562</v>
      </c>
      <c r="H93" s="6">
        <v>32.350305214820366</v>
      </c>
      <c r="I93" s="6"/>
      <c r="J93" s="6"/>
      <c r="K93" s="6"/>
      <c r="L93" s="6">
        <v>119.58639193783397</v>
      </c>
      <c r="M93" s="6">
        <v>3.3509080437937171</v>
      </c>
      <c r="N93" s="6"/>
      <c r="O93" s="6">
        <v>1.5697847613878333</v>
      </c>
      <c r="P93" s="6">
        <v>2.3444581023315423</v>
      </c>
      <c r="Q93" s="6">
        <v>0.33367193893055802</v>
      </c>
      <c r="R93" s="6">
        <v>41.887164158383442</v>
      </c>
      <c r="S93" s="9"/>
    </row>
    <row r="94" spans="1:19" x14ac:dyDescent="0.25">
      <c r="A94">
        <v>1887</v>
      </c>
      <c r="B94" s="6">
        <v>153.23975544548313</v>
      </c>
      <c r="C94" s="6">
        <v>1.7242004216237026</v>
      </c>
      <c r="D94" s="6"/>
      <c r="E94" s="6">
        <v>2.7020231565229857</v>
      </c>
      <c r="F94" s="6">
        <v>2.5054978707224214</v>
      </c>
      <c r="G94" s="6">
        <v>1.3766968076447039</v>
      </c>
      <c r="H94" s="6">
        <v>30.29627033539483</v>
      </c>
      <c r="I94" s="6"/>
      <c r="J94" s="6"/>
      <c r="K94" s="6"/>
      <c r="L94" s="6">
        <v>125.63666370002669</v>
      </c>
      <c r="M94" s="6">
        <v>2.8587714240052211</v>
      </c>
      <c r="N94" s="6"/>
      <c r="O94" s="6">
        <v>0.9941205028287059</v>
      </c>
      <c r="P94" s="6">
        <v>3.1384730992575882</v>
      </c>
      <c r="Q94" s="6">
        <v>3.248820886270308E-2</v>
      </c>
      <c r="R94" s="6">
        <v>38.163665811572294</v>
      </c>
      <c r="S94" s="9"/>
    </row>
    <row r="95" spans="1:19" x14ac:dyDescent="0.25">
      <c r="A95">
        <v>1888</v>
      </c>
      <c r="B95" s="6">
        <v>192.04367168320519</v>
      </c>
      <c r="C95" s="6">
        <v>1.5109519146413162</v>
      </c>
      <c r="D95" s="6"/>
      <c r="E95" s="6">
        <v>2.3847938405606204</v>
      </c>
      <c r="F95" s="6">
        <v>2.3007835831791317</v>
      </c>
      <c r="G95" s="6">
        <v>1.1293021778524472</v>
      </c>
      <c r="H95" s="6">
        <v>28.023712564474202</v>
      </c>
      <c r="I95" s="6"/>
      <c r="J95" s="6"/>
      <c r="K95" s="6"/>
      <c r="L95" s="6">
        <v>159.82759936639459</v>
      </c>
      <c r="M95" s="6">
        <v>4.4777245529288709</v>
      </c>
      <c r="N95" s="6"/>
      <c r="O95" s="6">
        <v>1.1246902887227803</v>
      </c>
      <c r="P95" s="6">
        <v>2.4161681887868842</v>
      </c>
      <c r="Q95" s="6">
        <v>2.9528995001817604E-2</v>
      </c>
      <c r="R95" s="6">
        <v>49.522707042277787</v>
      </c>
      <c r="S95" s="9"/>
    </row>
    <row r="96" spans="1:19" x14ac:dyDescent="0.25">
      <c r="A96">
        <v>1889</v>
      </c>
      <c r="B96" s="6">
        <v>187.89744078853033</v>
      </c>
      <c r="C96" s="6">
        <v>1.5905800669156926</v>
      </c>
      <c r="D96" s="6"/>
      <c r="E96" s="6">
        <v>2.4792318223618719</v>
      </c>
      <c r="F96" s="6">
        <v>2.504154276156541</v>
      </c>
      <c r="G96" s="6">
        <v>1.0492204381206665</v>
      </c>
      <c r="H96" s="6">
        <v>29.39576814248095</v>
      </c>
      <c r="I96" s="6"/>
      <c r="J96" s="6"/>
      <c r="K96" s="6"/>
      <c r="L96" s="6">
        <v>160.86442290854578</v>
      </c>
      <c r="M96" s="6">
        <v>4.3249259236900803</v>
      </c>
      <c r="N96" s="6"/>
      <c r="O96" s="6">
        <v>1.0026199634228026</v>
      </c>
      <c r="P96" s="6">
        <v>2.6175285010493652</v>
      </c>
      <c r="Q96" s="6">
        <v>2.5775220568034184E-2</v>
      </c>
      <c r="R96" s="6">
        <v>56.626423261871004</v>
      </c>
      <c r="S96" s="9"/>
    </row>
    <row r="97" spans="1:19" x14ac:dyDescent="0.25">
      <c r="A97">
        <v>1890</v>
      </c>
      <c r="B97" s="6">
        <v>177.49104047030434</v>
      </c>
      <c r="C97" s="6">
        <v>1.7718216937132383</v>
      </c>
      <c r="D97" s="6"/>
      <c r="E97" s="6">
        <v>2.5269503334608916</v>
      </c>
      <c r="F97" s="6">
        <v>2.1201331795248453</v>
      </c>
      <c r="G97" s="6">
        <v>1.5989666016094179</v>
      </c>
      <c r="H97" s="6">
        <v>28.473402960346501</v>
      </c>
      <c r="I97" s="6"/>
      <c r="J97" s="6"/>
      <c r="K97" s="6"/>
      <c r="L97" s="6">
        <v>165.2153015798132</v>
      </c>
      <c r="M97" s="6">
        <v>3.4074475058253788</v>
      </c>
      <c r="N97" s="6"/>
      <c r="O97" s="6">
        <v>0.97733498769890148</v>
      </c>
      <c r="P97" s="6">
        <v>1.609759444199909</v>
      </c>
      <c r="Q97" s="6">
        <v>6.659353915313812E-2</v>
      </c>
      <c r="R97" s="6">
        <v>56.979539175974608</v>
      </c>
      <c r="S97" s="9"/>
    </row>
    <row r="98" spans="1:19" x14ac:dyDescent="0.25">
      <c r="A98">
        <v>1891</v>
      </c>
      <c r="B98" s="6">
        <v>199.44292506397889</v>
      </c>
      <c r="C98" s="6">
        <v>2.1634117512175068</v>
      </c>
      <c r="D98" s="6"/>
      <c r="E98" s="6">
        <v>3.2131844759357406</v>
      </c>
      <c r="F98" s="6">
        <v>2.6708705012389498</v>
      </c>
      <c r="G98" s="6">
        <v>2.2274216172005992</v>
      </c>
      <c r="H98" s="6">
        <v>30.345530273607487</v>
      </c>
      <c r="I98" s="6"/>
      <c r="J98" s="6"/>
      <c r="K98" s="6"/>
      <c r="L98" s="6">
        <v>223.39002100375563</v>
      </c>
      <c r="M98" s="6">
        <v>4.9990784120537377</v>
      </c>
      <c r="N98" s="6"/>
      <c r="O98" s="6">
        <v>1.7580011908373947</v>
      </c>
      <c r="P98" s="6">
        <v>5.1912254661910611</v>
      </c>
      <c r="Q98" s="6">
        <v>5.6783404713379677E-2</v>
      </c>
      <c r="R98" s="6">
        <v>57.080142024793396</v>
      </c>
      <c r="S98" s="9"/>
    </row>
    <row r="99" spans="1:19" x14ac:dyDescent="0.25">
      <c r="A99">
        <v>1892</v>
      </c>
      <c r="B99" s="6">
        <v>166.07945399189416</v>
      </c>
      <c r="C99" s="6">
        <v>2.3966486075428772</v>
      </c>
      <c r="D99" s="6"/>
      <c r="E99" s="6">
        <v>3.9612592878684469</v>
      </c>
      <c r="F99" s="6">
        <v>4.9939349238792863</v>
      </c>
      <c r="G99" s="6">
        <v>0.93633209968601383</v>
      </c>
      <c r="H99" s="6">
        <v>33.37612567357764</v>
      </c>
      <c r="I99" s="6"/>
      <c r="J99" s="6"/>
      <c r="K99" s="6"/>
      <c r="L99" s="6">
        <v>218.5237651709711</v>
      </c>
      <c r="M99" s="6">
        <v>4.7250248324768229</v>
      </c>
      <c r="N99" s="6"/>
      <c r="O99" s="6">
        <v>1.3718151420563678</v>
      </c>
      <c r="P99" s="6">
        <v>3.0238214051005303</v>
      </c>
      <c r="Q99" s="6">
        <v>2.4414069199029238E-2</v>
      </c>
      <c r="R99" s="6">
        <v>58.130698537604452</v>
      </c>
      <c r="S99" s="9"/>
    </row>
    <row r="100" spans="1:19" x14ac:dyDescent="0.25">
      <c r="A100">
        <v>1893</v>
      </c>
      <c r="B100" s="6">
        <v>136.25929061023211</v>
      </c>
      <c r="C100" s="6">
        <v>2.6913014123235111</v>
      </c>
      <c r="D100" s="6"/>
      <c r="E100" s="6">
        <v>2.8742689458466733</v>
      </c>
      <c r="F100" s="6">
        <v>2.77311040771407</v>
      </c>
      <c r="G100" s="6">
        <v>1.1731754734868973</v>
      </c>
      <c r="H100" s="6">
        <v>33.886296105490821</v>
      </c>
      <c r="I100" s="6"/>
      <c r="J100" s="6"/>
      <c r="K100" s="6"/>
      <c r="L100" s="6">
        <v>240.49973061191955</v>
      </c>
      <c r="M100" s="6">
        <v>3.8090543372545094</v>
      </c>
      <c r="N100" s="6"/>
      <c r="O100" s="6">
        <v>1.6059984906065867</v>
      </c>
      <c r="P100" s="6">
        <v>5.7491368989426643</v>
      </c>
      <c r="Q100" s="6">
        <v>5.0869838963639016E-2</v>
      </c>
      <c r="R100" s="6">
        <v>57.221595611057218</v>
      </c>
      <c r="S100" s="9"/>
    </row>
    <row r="101" spans="1:19" x14ac:dyDescent="0.25">
      <c r="A101">
        <v>1894</v>
      </c>
      <c r="B101" s="6">
        <v>132.1322785366732</v>
      </c>
      <c r="C101" s="6">
        <v>2.9312624058783641</v>
      </c>
      <c r="D101" s="6"/>
      <c r="E101" s="6">
        <v>3.0569023171200773</v>
      </c>
      <c r="F101" s="6">
        <v>2.8217647770066314</v>
      </c>
      <c r="G101" s="6">
        <v>1.7009927456669274</v>
      </c>
      <c r="H101" s="6">
        <v>33.80259091923881</v>
      </c>
      <c r="I101" s="6"/>
      <c r="J101" s="6"/>
      <c r="K101" s="6"/>
      <c r="L101" s="6">
        <v>257.87930037135283</v>
      </c>
      <c r="M101" s="6">
        <v>6.7868415817780283</v>
      </c>
      <c r="N101" s="6"/>
      <c r="O101" s="6">
        <v>1.28484954351006</v>
      </c>
      <c r="P101" s="6">
        <v>3.1556178737323606</v>
      </c>
      <c r="Q101" s="6">
        <v>0.13549503093410767</v>
      </c>
      <c r="R101" s="6">
        <v>59.480569033366038</v>
      </c>
      <c r="S101" s="9"/>
    </row>
    <row r="102" spans="1:19" x14ac:dyDescent="0.25">
      <c r="A102">
        <v>1895</v>
      </c>
      <c r="B102" s="6">
        <v>141.3976226607441</v>
      </c>
      <c r="C102" s="6">
        <v>2.4909484954408203</v>
      </c>
      <c r="D102" s="6"/>
      <c r="E102" s="6">
        <v>2.5895411329921081</v>
      </c>
      <c r="F102" s="6">
        <v>1.7942155024198523</v>
      </c>
      <c r="G102" s="6">
        <v>1.4500366268410458</v>
      </c>
      <c r="H102" s="6">
        <v>35.818072419701302</v>
      </c>
      <c r="I102" s="6"/>
      <c r="J102" s="6"/>
      <c r="K102" s="6"/>
      <c r="L102" s="6">
        <v>263.57824881101379</v>
      </c>
      <c r="M102" s="6">
        <v>4.0974774495090349</v>
      </c>
      <c r="N102" s="6"/>
      <c r="O102" s="6">
        <v>1.4150498559633922</v>
      </c>
      <c r="P102" s="6">
        <v>4.4413471057283367</v>
      </c>
      <c r="Q102" s="6">
        <v>7.6342590193854573E-2</v>
      </c>
      <c r="R102" s="6">
        <v>61.315321504802561</v>
      </c>
      <c r="S102" s="9"/>
    </row>
    <row r="103" spans="1:19" x14ac:dyDescent="0.25">
      <c r="A103">
        <v>1896</v>
      </c>
      <c r="B103" s="6">
        <v>173.71129995101802</v>
      </c>
      <c r="C103" s="6">
        <v>2.382206826200346</v>
      </c>
      <c r="D103" s="6"/>
      <c r="E103" s="6">
        <v>2.8630937429193373</v>
      </c>
      <c r="F103" s="6">
        <v>2.4349294443787319</v>
      </c>
      <c r="G103" s="6">
        <v>1.9324321225695806</v>
      </c>
      <c r="H103" s="6">
        <v>39.490151631950134</v>
      </c>
      <c r="I103" s="6"/>
      <c r="J103" s="6"/>
      <c r="K103" s="6"/>
      <c r="L103" s="6">
        <v>245.64519724137935</v>
      </c>
      <c r="M103" s="6">
        <v>5.7027294849770813</v>
      </c>
      <c r="N103" s="6"/>
      <c r="O103" s="6">
        <v>1.5637886172327065</v>
      </c>
      <c r="P103" s="6">
        <v>3.1604423097017942</v>
      </c>
      <c r="Q103" s="6">
        <v>4.7689161810209997E-2</v>
      </c>
      <c r="R103" s="6">
        <v>56.30325611315547</v>
      </c>
      <c r="S103" s="9"/>
    </row>
    <row r="104" spans="1:19" x14ac:dyDescent="0.25">
      <c r="A104">
        <v>1897</v>
      </c>
      <c r="B104" s="6">
        <v>185.37234091680804</v>
      </c>
      <c r="C104" s="6">
        <v>2.414566932868452</v>
      </c>
      <c r="D104" s="6"/>
      <c r="E104" s="6">
        <v>2.7028713427513322</v>
      </c>
      <c r="F104" s="6">
        <v>2.4118938437187381</v>
      </c>
      <c r="G104" s="6">
        <v>2.1832529344119336</v>
      </c>
      <c r="H104" s="6">
        <v>38.178046260772739</v>
      </c>
      <c r="I104" s="6"/>
      <c r="J104" s="6"/>
      <c r="K104" s="6"/>
      <c r="L104" s="6">
        <v>289.84923286004073</v>
      </c>
      <c r="M104" s="6">
        <v>5.776689246950979</v>
      </c>
      <c r="N104" s="6"/>
      <c r="O104" s="6">
        <v>2.6531538045475123</v>
      </c>
      <c r="P104" s="6">
        <v>4.1495969221121651</v>
      </c>
      <c r="Q104" s="6">
        <v>6.3827451398073762E-2</v>
      </c>
      <c r="R104" s="6">
        <v>66.909025345879954</v>
      </c>
      <c r="S104" s="9"/>
    </row>
    <row r="105" spans="1:19" x14ac:dyDescent="0.25">
      <c r="A105">
        <v>1898</v>
      </c>
      <c r="B105" s="6">
        <v>180.45614086706382</v>
      </c>
      <c r="C105" s="6">
        <v>2.1431635303567247</v>
      </c>
      <c r="D105" s="6"/>
      <c r="E105" s="6">
        <v>2.588060620116416</v>
      </c>
      <c r="F105" s="6">
        <v>2.2395197601756189</v>
      </c>
      <c r="G105" s="6">
        <v>2.9662165274006433</v>
      </c>
      <c r="H105" s="6">
        <v>37.061743591754805</v>
      </c>
      <c r="I105" s="6"/>
      <c r="J105" s="6"/>
      <c r="K105" s="6"/>
      <c r="L105" s="6">
        <v>291.06397068965526</v>
      </c>
      <c r="M105" s="6">
        <v>6.4945048096367417</v>
      </c>
      <c r="N105" s="6"/>
      <c r="O105" s="6">
        <v>3.2045642468840185</v>
      </c>
      <c r="P105" s="6">
        <v>2.5863785369032768</v>
      </c>
      <c r="Q105" s="6">
        <v>9.5401785824220722E-2</v>
      </c>
      <c r="R105" s="6">
        <v>72.926225353748677</v>
      </c>
      <c r="S105" s="9"/>
    </row>
    <row r="106" spans="1:19" x14ac:dyDescent="0.25">
      <c r="A106">
        <v>1899</v>
      </c>
      <c r="B106" s="6">
        <v>197.84362335525168</v>
      </c>
      <c r="C106" s="6">
        <v>2.6047678411498523</v>
      </c>
      <c r="D106" s="6"/>
      <c r="E106" s="6">
        <v>3.1172336978324884</v>
      </c>
      <c r="F106" s="6">
        <v>0.93597424945221419</v>
      </c>
      <c r="G106" s="6">
        <v>4.2402912557361576</v>
      </c>
      <c r="H106" s="6">
        <v>37.962072660879485</v>
      </c>
      <c r="I106" s="6"/>
      <c r="J106" s="6"/>
      <c r="K106" s="6"/>
      <c r="L106" s="6">
        <v>281.97797347480116</v>
      </c>
      <c r="M106" s="6">
        <v>6.1401075077617886</v>
      </c>
      <c r="N106" s="6"/>
      <c r="O106" s="6">
        <v>4.2832830293791373</v>
      </c>
      <c r="P106" s="6">
        <v>1.2671086522921371</v>
      </c>
      <c r="Q106" s="6">
        <v>0.10783540946071368</v>
      </c>
      <c r="R106" s="6">
        <v>84.466431368534487</v>
      </c>
      <c r="S106" s="9"/>
    </row>
    <row r="107" spans="1:19" x14ac:dyDescent="0.25">
      <c r="A107">
        <v>1900</v>
      </c>
      <c r="B107" s="6">
        <v>223.5029558322579</v>
      </c>
      <c r="C107" s="6">
        <v>2.9824642888672646</v>
      </c>
      <c r="D107" s="6"/>
      <c r="E107" s="6">
        <v>3.3888303206501149</v>
      </c>
      <c r="F107" s="6">
        <v>0.92729423291546809</v>
      </c>
      <c r="G107" s="6">
        <v>1.9733913919263339</v>
      </c>
      <c r="H107" s="6">
        <v>42.945687633529431</v>
      </c>
      <c r="I107" s="6"/>
      <c r="J107" s="6"/>
      <c r="K107" s="6"/>
      <c r="L107" s="6">
        <v>287.726842924138</v>
      </c>
      <c r="M107" s="6">
        <v>7.3406649923004448</v>
      </c>
      <c r="N107" s="6"/>
      <c r="O107" s="6">
        <v>3.3267465549337607</v>
      </c>
      <c r="P107" s="6">
        <v>1.0024486935562327</v>
      </c>
      <c r="Q107" s="6">
        <v>4.1987050892049661E-2</v>
      </c>
      <c r="R107" s="6">
        <v>86.026874154302647</v>
      </c>
      <c r="S107" s="9"/>
    </row>
    <row r="108" spans="1:19" x14ac:dyDescent="0.25">
      <c r="A108">
        <v>1901</v>
      </c>
      <c r="B108" s="6">
        <v>221.64951166059069</v>
      </c>
      <c r="C108" s="6">
        <v>3.2148065728562853</v>
      </c>
      <c r="D108" s="6"/>
      <c r="E108" s="6">
        <v>4.094520399107239</v>
      </c>
      <c r="F108" s="6">
        <v>1.0162334840917679</v>
      </c>
      <c r="G108" s="6"/>
      <c r="H108" s="6">
        <v>49.279195014110535</v>
      </c>
      <c r="I108" s="6"/>
      <c r="J108" s="6"/>
      <c r="K108" s="6"/>
      <c r="L108" s="6">
        <v>215.78269575757579</v>
      </c>
      <c r="M108" s="6">
        <v>6.6709159544671364</v>
      </c>
      <c r="N108" s="6"/>
      <c r="O108" s="6">
        <v>3.4254969827645603</v>
      </c>
      <c r="P108" s="6">
        <v>3.2000686059048937</v>
      </c>
      <c r="Q108" s="6"/>
      <c r="R108" s="6">
        <v>90.949621064516123</v>
      </c>
      <c r="S108" s="9"/>
    </row>
    <row r="109" spans="1:19" x14ac:dyDescent="0.25">
      <c r="A109">
        <v>1902</v>
      </c>
      <c r="B109" s="6">
        <v>215.3770442002849</v>
      </c>
      <c r="C109" s="6">
        <v>4.7902574231964543</v>
      </c>
      <c r="D109" s="6"/>
      <c r="E109" s="6">
        <v>4.1631230116942985</v>
      </c>
      <c r="F109" s="6">
        <v>1.3922814792599127</v>
      </c>
      <c r="G109" s="6"/>
      <c r="H109" s="6">
        <v>50.200348629207951</v>
      </c>
      <c r="I109" s="6"/>
      <c r="J109" s="6"/>
      <c r="K109" s="6"/>
      <c r="L109" s="6">
        <v>168.87113600000004</v>
      </c>
      <c r="M109" s="6">
        <v>6.1502162139682115</v>
      </c>
      <c r="N109" s="6"/>
      <c r="O109" s="6">
        <v>5.5318334191506811</v>
      </c>
      <c r="P109" s="6">
        <v>1.3988226309792788</v>
      </c>
      <c r="Q109" s="6"/>
      <c r="R109" s="6">
        <v>100.32810949048154</v>
      </c>
      <c r="S109" s="9"/>
    </row>
    <row r="110" spans="1:19" x14ac:dyDescent="0.25">
      <c r="A110">
        <v>1903</v>
      </c>
      <c r="B110" s="6">
        <v>201.82361240635041</v>
      </c>
      <c r="C110" s="6">
        <v>4.6969963810084261</v>
      </c>
      <c r="D110" s="6"/>
      <c r="E110" s="6">
        <v>3.9898704440954846</v>
      </c>
      <c r="F110" s="6">
        <v>1.6269642110116127</v>
      </c>
      <c r="G110" s="6"/>
      <c r="H110" s="6">
        <v>58.531234420426067</v>
      </c>
      <c r="I110" s="6"/>
      <c r="J110" s="6"/>
      <c r="K110" s="6"/>
      <c r="L110" s="6">
        <v>164.44426212765958</v>
      </c>
      <c r="M110" s="6">
        <v>6.3787377662505325</v>
      </c>
      <c r="N110" s="6"/>
      <c r="O110" s="6">
        <v>4.6192077790347161</v>
      </c>
      <c r="P110" s="6">
        <v>1.4810559401211258</v>
      </c>
      <c r="Q110" s="6"/>
      <c r="R110" s="6">
        <v>99.551095909090904</v>
      </c>
      <c r="S110" s="9"/>
    </row>
    <row r="111" spans="1:19" x14ac:dyDescent="0.25">
      <c r="A111">
        <v>1904</v>
      </c>
      <c r="B111" s="6">
        <v>198.94394892605754</v>
      </c>
      <c r="C111" s="6">
        <v>4.4616358601783563</v>
      </c>
      <c r="D111" s="6"/>
      <c r="E111" s="6">
        <v>3.7175968412871803</v>
      </c>
      <c r="F111" s="6">
        <v>1.4133747401865229</v>
      </c>
      <c r="G111" s="6"/>
      <c r="H111" s="6">
        <v>62.404587230888502</v>
      </c>
      <c r="I111" s="6"/>
      <c r="J111" s="6"/>
      <c r="K111" s="6"/>
      <c r="L111" s="6">
        <v>213.97068000000002</v>
      </c>
      <c r="M111" s="6">
        <v>6.9223095117694937</v>
      </c>
      <c r="N111" s="6"/>
      <c r="O111" s="6">
        <v>4.0611102459951356</v>
      </c>
      <c r="P111" s="6">
        <v>1.5017714103069402</v>
      </c>
      <c r="Q111" s="6"/>
      <c r="R111" s="6">
        <v>92.136340875356794</v>
      </c>
      <c r="S111" s="9"/>
    </row>
    <row r="112" spans="1:19" x14ac:dyDescent="0.25">
      <c r="A112">
        <v>1905</v>
      </c>
      <c r="B112" s="6">
        <v>200.14357503304464</v>
      </c>
      <c r="C112" s="6">
        <v>4.5061470670001142</v>
      </c>
      <c r="D112" s="6"/>
      <c r="E112" s="6">
        <v>3.2314704832005234</v>
      </c>
      <c r="F112" s="6">
        <v>2.0684954165514515</v>
      </c>
      <c r="G112" s="6"/>
      <c r="H112" s="6">
        <v>60.491977957239548</v>
      </c>
      <c r="I112" s="6"/>
      <c r="J112" s="6"/>
      <c r="K112" s="6"/>
      <c r="L112" s="6">
        <v>233.57118945558739</v>
      </c>
      <c r="M112" s="6">
        <v>7.1352664831269923</v>
      </c>
      <c r="N112" s="6"/>
      <c r="O112" s="6">
        <v>3.6010933432092873</v>
      </c>
      <c r="P112" s="6">
        <v>1.468962937359463</v>
      </c>
      <c r="Q112" s="6"/>
      <c r="R112" s="6">
        <v>89.020830310880825</v>
      </c>
      <c r="S112" s="9"/>
    </row>
    <row r="113" spans="1:19" x14ac:dyDescent="0.25">
      <c r="A113">
        <v>1906</v>
      </c>
      <c r="B113" s="6">
        <v>217.29126897681016</v>
      </c>
      <c r="C113" s="6">
        <v>6.1131322127357857</v>
      </c>
      <c r="D113" s="6"/>
      <c r="E113" s="6">
        <v>3.1039250693664329</v>
      </c>
      <c r="F113" s="6">
        <v>2.0356626080501217</v>
      </c>
      <c r="G113" s="6"/>
      <c r="H113" s="6">
        <v>68.920108665102305</v>
      </c>
      <c r="I113" s="6"/>
      <c r="J113" s="6"/>
      <c r="K113" s="6"/>
      <c r="L113" s="6">
        <v>261.90946622950815</v>
      </c>
      <c r="M113" s="6">
        <v>6.0579281075589471</v>
      </c>
      <c r="N113" s="6"/>
      <c r="O113" s="6">
        <v>3.3678165775862405</v>
      </c>
      <c r="P113" s="6">
        <v>1.7916277252612491</v>
      </c>
      <c r="Q113" s="6"/>
      <c r="R113" s="6">
        <v>94.847972466081416</v>
      </c>
      <c r="S113" s="9"/>
    </row>
    <row r="114" spans="1:19" x14ac:dyDescent="0.25">
      <c r="A114">
        <v>1907</v>
      </c>
      <c r="B114" s="6">
        <v>247.96839547597315</v>
      </c>
      <c r="C114" s="6">
        <v>7.7636158473177241</v>
      </c>
      <c r="D114" s="6"/>
      <c r="E114" s="6">
        <v>2.6125703831411946</v>
      </c>
      <c r="F114" s="6">
        <v>2.0091006993690583</v>
      </c>
      <c r="G114" s="6"/>
      <c r="H114" s="6">
        <v>76.009127118882461</v>
      </c>
      <c r="I114" s="6"/>
      <c r="J114" s="6"/>
      <c r="K114" s="6"/>
      <c r="L114" s="6">
        <v>305.38042043478259</v>
      </c>
      <c r="M114" s="6">
        <v>7.2384279781830374</v>
      </c>
      <c r="N114" s="6"/>
      <c r="O114" s="6">
        <v>3.9754219023206141</v>
      </c>
      <c r="P114" s="6">
        <v>1.3948773773908669</v>
      </c>
      <c r="Q114" s="6"/>
      <c r="R114" s="6">
        <v>102.06999187935035</v>
      </c>
      <c r="S114" s="9"/>
    </row>
    <row r="115" spans="1:19" x14ac:dyDescent="0.25">
      <c r="A115">
        <v>1908</v>
      </c>
      <c r="B115" s="6">
        <v>249.10149997941119</v>
      </c>
      <c r="C115" s="6">
        <v>6.3291115981084269</v>
      </c>
      <c r="D115" s="6"/>
      <c r="E115" s="6">
        <v>2.7842460058857053</v>
      </c>
      <c r="F115" s="6">
        <v>1.7940047824622958</v>
      </c>
      <c r="G115" s="6"/>
      <c r="H115" s="6">
        <v>79.485772194642891</v>
      </c>
      <c r="I115" s="6"/>
      <c r="J115" s="6"/>
      <c r="K115" s="6"/>
      <c r="L115" s="6">
        <v>255.91494101694917</v>
      </c>
      <c r="M115" s="6">
        <v>8.2874105859937401</v>
      </c>
      <c r="N115" s="6"/>
      <c r="O115" s="6">
        <v>4.3345913903066249</v>
      </c>
      <c r="P115" s="6">
        <v>2.7359656011542661</v>
      </c>
      <c r="Q115" s="6"/>
      <c r="R115" s="6">
        <v>89.636280150753763</v>
      </c>
      <c r="S115" s="9"/>
    </row>
    <row r="116" spans="1:19" x14ac:dyDescent="0.25">
      <c r="A116">
        <v>1909</v>
      </c>
      <c r="B116" s="6">
        <v>259.23217790676051</v>
      </c>
      <c r="C116" s="6">
        <v>6.6509789832621067</v>
      </c>
      <c r="D116" s="6"/>
      <c r="E116" s="6">
        <v>2.8804856613782808</v>
      </c>
      <c r="F116" s="6">
        <v>2.3311129298454323</v>
      </c>
      <c r="G116" s="6"/>
      <c r="H116" s="6">
        <v>70.654223855092638</v>
      </c>
      <c r="I116" s="6"/>
      <c r="J116" s="6"/>
      <c r="K116" s="6"/>
      <c r="L116" s="6">
        <v>292.874342234957</v>
      </c>
      <c r="M116" s="6">
        <v>9.1730358141598316</v>
      </c>
      <c r="N116" s="6"/>
      <c r="O116" s="6">
        <v>3.7066251100122805</v>
      </c>
      <c r="P116" s="6">
        <v>3.271383832182658</v>
      </c>
      <c r="Q116" s="6"/>
      <c r="R116" s="6">
        <v>116.32203372302158</v>
      </c>
      <c r="S116" s="9"/>
    </row>
    <row r="117" spans="1:19" x14ac:dyDescent="0.25">
      <c r="A117">
        <v>1910</v>
      </c>
      <c r="B117" s="6">
        <v>296.76438864963501</v>
      </c>
      <c r="C117" s="6">
        <v>8.2077554857237836</v>
      </c>
      <c r="D117" s="6"/>
      <c r="E117" s="6">
        <v>3.942542357090848</v>
      </c>
      <c r="F117" s="6">
        <v>2.0922513729542027</v>
      </c>
      <c r="G117" s="6"/>
      <c r="H117" s="6">
        <v>73.747086888918844</v>
      </c>
      <c r="I117" s="6"/>
      <c r="J117" s="6"/>
      <c r="K117" s="6"/>
      <c r="L117" s="6">
        <v>362.58155690544407</v>
      </c>
      <c r="M117" s="6">
        <v>10.140681844808578</v>
      </c>
      <c r="N117" s="6"/>
      <c r="O117" s="6">
        <v>3.8058885236250681</v>
      </c>
      <c r="P117" s="6">
        <v>5.2833227410149757</v>
      </c>
      <c r="Q117" s="6"/>
      <c r="R117" s="6">
        <v>118.02841214574897</v>
      </c>
      <c r="S117" s="9"/>
    </row>
    <row r="118" spans="1:19" x14ac:dyDescent="0.25">
      <c r="A118">
        <v>1911</v>
      </c>
      <c r="B118" s="6">
        <v>326.36966586855567</v>
      </c>
      <c r="C118" s="6">
        <v>6.6049553961877177</v>
      </c>
      <c r="D118" s="6"/>
      <c r="E118" s="6">
        <v>4.7173902023341006</v>
      </c>
      <c r="F118" s="6">
        <v>2.6360303672898842</v>
      </c>
      <c r="G118" s="6"/>
      <c r="H118" s="6">
        <v>81.376109454683117</v>
      </c>
      <c r="I118" s="6"/>
      <c r="J118" s="6"/>
      <c r="K118" s="6"/>
      <c r="L118" s="6">
        <v>350.61688573065902</v>
      </c>
      <c r="M118" s="6">
        <v>11.079218859160006</v>
      </c>
      <c r="N118" s="6"/>
      <c r="O118" s="6">
        <v>3.5682965530549566</v>
      </c>
      <c r="P118" s="6">
        <v>4.3250286109700014</v>
      </c>
      <c r="Q118" s="6"/>
      <c r="R118" s="6">
        <v>101.26128652597401</v>
      </c>
      <c r="S118" s="9"/>
    </row>
    <row r="119" spans="1:19" x14ac:dyDescent="0.25">
      <c r="A119">
        <v>1912</v>
      </c>
      <c r="B119" s="6">
        <v>379.15788893508886</v>
      </c>
      <c r="C119" s="6">
        <v>8.1980908364580145</v>
      </c>
      <c r="D119" s="6"/>
      <c r="E119" s="6">
        <v>4.3899235430490862</v>
      </c>
      <c r="F119" s="6">
        <v>2.9925274154074852</v>
      </c>
      <c r="G119" s="6"/>
      <c r="H119" s="6">
        <v>87.815082639591836</v>
      </c>
      <c r="I119" s="6"/>
      <c r="J119" s="6"/>
      <c r="K119" s="6"/>
      <c r="L119" s="6">
        <v>335.44165362880881</v>
      </c>
      <c r="M119" s="6">
        <v>9.2946933462220809</v>
      </c>
      <c r="N119" s="6"/>
      <c r="O119" s="6">
        <v>3.3552765506111366</v>
      </c>
      <c r="P119" s="6">
        <v>4.3334185708843052</v>
      </c>
      <c r="Q119" s="6"/>
      <c r="R119" s="6">
        <v>116.943375</v>
      </c>
      <c r="S119" s="9"/>
    </row>
    <row r="120" spans="1:19" x14ac:dyDescent="0.25">
      <c r="A120">
        <v>1913</v>
      </c>
      <c r="B120" s="6">
        <v>373.6906278688524</v>
      </c>
      <c r="C120" s="6">
        <v>8.2046469536082256</v>
      </c>
      <c r="D120" s="6"/>
      <c r="E120" s="6">
        <v>5.1612778689315713</v>
      </c>
      <c r="F120" s="6">
        <v>3.7771475655901132</v>
      </c>
      <c r="G120" s="6"/>
      <c r="H120" s="6">
        <v>113.32420999999999</v>
      </c>
      <c r="I120" s="6"/>
      <c r="J120" s="6"/>
      <c r="K120" s="6"/>
      <c r="L120" s="6">
        <v>366.03</v>
      </c>
      <c r="M120" s="6">
        <v>11.751643510594711</v>
      </c>
      <c r="N120" s="6"/>
      <c r="O120" s="6">
        <v>5.2877135411639813</v>
      </c>
      <c r="P120" s="6">
        <v>5.1225821528009003</v>
      </c>
      <c r="Q120" s="6"/>
      <c r="R120" s="6">
        <v>111.86509999999998</v>
      </c>
      <c r="S120" s="9"/>
    </row>
    <row r="121" spans="1:19" x14ac:dyDescent="0.25">
      <c r="A121">
        <v>1914</v>
      </c>
      <c r="B121" s="6">
        <v>339.55529762968933</v>
      </c>
      <c r="C121" s="6">
        <v>8.6498304933201595</v>
      </c>
      <c r="D121" s="6"/>
      <c r="E121" s="6">
        <v>4.6710522024379229</v>
      </c>
      <c r="F121" s="6">
        <v>3.9278026349196948</v>
      </c>
      <c r="G121" s="6"/>
      <c r="H121" s="6">
        <v>127.8333347848268</v>
      </c>
      <c r="I121" s="6"/>
      <c r="J121" s="6"/>
      <c r="K121" s="6"/>
      <c r="L121" s="6">
        <v>315.05837553191486</v>
      </c>
      <c r="M121" s="6">
        <v>12.826032629144956</v>
      </c>
      <c r="N121" s="6"/>
      <c r="O121" s="6">
        <v>5.4954863750470713</v>
      </c>
      <c r="P121" s="6">
        <v>5.1946351444778962</v>
      </c>
      <c r="Q121" s="6"/>
      <c r="R121" s="6">
        <v>127.03667123795404</v>
      </c>
      <c r="S121" s="9"/>
    </row>
    <row r="122" spans="1:19" x14ac:dyDescent="0.25">
      <c r="A122">
        <v>1915</v>
      </c>
      <c r="B122" s="6">
        <v>275.19496642673516</v>
      </c>
      <c r="C122" s="6">
        <v>3.894528557529378</v>
      </c>
      <c r="D122" s="6"/>
      <c r="E122" s="6">
        <v>1.9581039956511952</v>
      </c>
      <c r="F122" s="6">
        <v>1.8050253658887208</v>
      </c>
      <c r="G122" s="6"/>
      <c r="H122" s="6">
        <v>93.029717582022599</v>
      </c>
      <c r="I122" s="6"/>
      <c r="J122" s="6"/>
      <c r="K122" s="6"/>
      <c r="L122" s="6">
        <v>305.86275462770897</v>
      </c>
      <c r="M122" s="6">
        <v>10.796675662288372</v>
      </c>
      <c r="N122" s="6"/>
      <c r="O122" s="6">
        <v>5.713519231804022</v>
      </c>
      <c r="P122" s="6">
        <v>5.1644449256318428</v>
      </c>
      <c r="Q122" s="6"/>
      <c r="R122" s="6">
        <v>130.00554247027088</v>
      </c>
      <c r="S122" s="9"/>
    </row>
    <row r="123" spans="1:19" x14ac:dyDescent="0.25">
      <c r="A123">
        <v>1916</v>
      </c>
      <c r="B123" s="6">
        <v>310.46236936082471</v>
      </c>
      <c r="C123" s="6">
        <v>3.4966522651802627</v>
      </c>
      <c r="D123" s="6"/>
      <c r="E123" s="6">
        <v>2.0380891410248467</v>
      </c>
      <c r="F123" s="6">
        <v>1.9519676957676724</v>
      </c>
      <c r="G123" s="6"/>
      <c r="H123" s="6">
        <v>88.54769621664235</v>
      </c>
      <c r="I123" s="6"/>
      <c r="J123" s="6"/>
      <c r="K123" s="6"/>
      <c r="L123" s="6">
        <v>268.71429759468123</v>
      </c>
      <c r="M123" s="6">
        <v>12.85867994657969</v>
      </c>
      <c r="N123" s="6"/>
      <c r="O123" s="6">
        <v>7.4828561723913589</v>
      </c>
      <c r="P123" s="6">
        <v>5.9155339834358234</v>
      </c>
      <c r="Q123" s="6"/>
      <c r="R123" s="6">
        <v>117.45326839879934</v>
      </c>
      <c r="S123" s="9"/>
    </row>
    <row r="124" spans="1:19" x14ac:dyDescent="0.25">
      <c r="A124">
        <v>1917</v>
      </c>
      <c r="B124" s="6">
        <v>295.04936090121316</v>
      </c>
      <c r="C124" s="6">
        <v>2.6864092576868175</v>
      </c>
      <c r="D124" s="6"/>
      <c r="E124" s="6">
        <v>1.5285367346100001</v>
      </c>
      <c r="F124" s="6">
        <v>1.4295865640845096</v>
      </c>
      <c r="G124" s="6"/>
      <c r="H124" s="6">
        <v>47.698330680973307</v>
      </c>
      <c r="I124" s="6"/>
      <c r="J124" s="6"/>
      <c r="K124" s="6"/>
      <c r="L124" s="6">
        <v>208.78034431980208</v>
      </c>
      <c r="M124" s="6">
        <v>13.045130662220259</v>
      </c>
      <c r="N124" s="6"/>
      <c r="O124" s="6">
        <v>7.0569049990782675</v>
      </c>
      <c r="P124" s="6">
        <v>5.7655719483683709</v>
      </c>
      <c r="Q124" s="6"/>
      <c r="R124" s="6">
        <v>96.1705869901932</v>
      </c>
      <c r="S124" s="9"/>
    </row>
    <row r="125" spans="1:19" x14ac:dyDescent="0.25">
      <c r="A125">
        <v>1918</v>
      </c>
      <c r="B125" s="6">
        <v>248.9275546646341</v>
      </c>
      <c r="C125" s="6">
        <v>4.3141719405031891</v>
      </c>
      <c r="D125" s="6"/>
      <c r="E125" s="6">
        <v>2.7552052180785784</v>
      </c>
      <c r="F125" s="6">
        <v>2.0140225483358938</v>
      </c>
      <c r="G125" s="6"/>
      <c r="H125" s="6">
        <v>56.5557492099041</v>
      </c>
      <c r="I125" s="6"/>
      <c r="J125" s="6"/>
      <c r="K125" s="6"/>
      <c r="L125" s="6">
        <v>235.53123611298926</v>
      </c>
      <c r="M125" s="6">
        <v>8.8257453358397608</v>
      </c>
      <c r="N125" s="6"/>
      <c r="O125" s="6">
        <v>7.53425925733863</v>
      </c>
      <c r="P125" s="6">
        <v>5.2613246928479711</v>
      </c>
      <c r="Q125" s="6"/>
      <c r="R125" s="6">
        <v>85.483743204499518</v>
      </c>
      <c r="S125" s="9"/>
    </row>
    <row r="126" spans="1:19" x14ac:dyDescent="0.25">
      <c r="A126">
        <v>1919</v>
      </c>
      <c r="B126" s="6">
        <v>269.29686902013424</v>
      </c>
      <c r="C126" s="6">
        <v>2.5665691277137728</v>
      </c>
      <c r="D126" s="6"/>
      <c r="E126" s="6">
        <v>1.6925968152742523</v>
      </c>
      <c r="F126" s="6">
        <v>1.1336235123368097</v>
      </c>
      <c r="G126" s="6"/>
      <c r="H126" s="6">
        <v>62.280435182451328</v>
      </c>
      <c r="I126" s="6"/>
      <c r="J126" s="6"/>
      <c r="K126" s="6"/>
      <c r="L126" s="6">
        <v>288.90779695518245</v>
      </c>
      <c r="M126" s="6">
        <v>7.759616520155217</v>
      </c>
      <c r="N126" s="6"/>
      <c r="O126" s="6">
        <v>2.3201465241474759</v>
      </c>
      <c r="P126" s="6">
        <v>2.7961493337153782</v>
      </c>
      <c r="Q126" s="6"/>
      <c r="R126" s="6">
        <v>157.33150587565314</v>
      </c>
      <c r="S126" s="9"/>
    </row>
    <row r="127" spans="1:19" x14ac:dyDescent="0.25">
      <c r="A127">
        <v>1920</v>
      </c>
      <c r="B127" s="6">
        <v>252.07437042056068</v>
      </c>
      <c r="C127" s="6">
        <v>2.9725634828383094</v>
      </c>
      <c r="D127" s="6"/>
      <c r="E127" s="6">
        <v>2.532856539642625</v>
      </c>
      <c r="F127" s="6">
        <v>1.9346224446090485</v>
      </c>
      <c r="G127" s="6"/>
      <c r="H127" s="6">
        <v>148.46069732214303</v>
      </c>
      <c r="I127" s="6"/>
      <c r="J127" s="6"/>
      <c r="K127" s="6"/>
      <c r="L127" s="6">
        <v>378.76788105891791</v>
      </c>
      <c r="M127" s="6">
        <v>7.1047432517151448</v>
      </c>
      <c r="N127" s="6"/>
      <c r="O127" s="6">
        <v>3.0305680024716608</v>
      </c>
      <c r="P127" s="6">
        <v>3.0737133080928989</v>
      </c>
      <c r="Q127" s="6"/>
      <c r="R127" s="6">
        <v>137.26495445276095</v>
      </c>
      <c r="S127" s="9"/>
    </row>
    <row r="128" spans="1:19" x14ac:dyDescent="0.25">
      <c r="A128">
        <v>1921</v>
      </c>
      <c r="B128" s="6">
        <v>244.34016599999995</v>
      </c>
      <c r="C128" s="6">
        <v>3.8271965234397323</v>
      </c>
      <c r="D128" s="6"/>
      <c r="E128" s="6">
        <v>3.0515536002523538</v>
      </c>
      <c r="F128" s="6">
        <v>2.6111370118294315</v>
      </c>
      <c r="G128" s="6"/>
      <c r="H128" s="6">
        <v>150.56504941927847</v>
      </c>
      <c r="I128" s="6"/>
      <c r="J128" s="6"/>
      <c r="K128" s="6"/>
      <c r="L128" s="6">
        <v>427.03369719121088</v>
      </c>
      <c r="M128" s="6">
        <v>7.7271477205505779</v>
      </c>
      <c r="N128" s="6"/>
      <c r="O128" s="6">
        <v>3.2707814382996214</v>
      </c>
      <c r="P128" s="6">
        <v>3.3816149795273667</v>
      </c>
      <c r="Q128" s="6"/>
      <c r="R128" s="6">
        <v>143.21591756610857</v>
      </c>
      <c r="S128" s="9"/>
    </row>
    <row r="129" spans="1:20" x14ac:dyDescent="0.25">
      <c r="A129">
        <v>1922</v>
      </c>
      <c r="B129" s="6">
        <v>300.27276480712163</v>
      </c>
      <c r="C129" s="6">
        <v>7.0041873081386719</v>
      </c>
      <c r="D129" s="6"/>
      <c r="E129" s="6">
        <v>4.2243175677446887</v>
      </c>
      <c r="F129" s="6">
        <v>3.3217932560758601</v>
      </c>
      <c r="G129" s="6"/>
      <c r="H129" s="6">
        <v>158.41181019141791</v>
      </c>
      <c r="I129" s="6"/>
      <c r="J129" s="6"/>
      <c r="K129" s="6"/>
      <c r="L129" s="6">
        <v>384.49289085418957</v>
      </c>
      <c r="M129" s="6">
        <v>16.140428213715005</v>
      </c>
      <c r="N129" s="6"/>
      <c r="O129" s="6">
        <v>3.5103738303576235</v>
      </c>
      <c r="P129" s="6">
        <v>5.4125457073347985</v>
      </c>
      <c r="Q129" s="6"/>
      <c r="R129" s="6">
        <v>181.74748357663591</v>
      </c>
      <c r="S129" s="9"/>
    </row>
    <row r="130" spans="1:20" x14ac:dyDescent="0.25">
      <c r="A130">
        <v>1923</v>
      </c>
      <c r="B130" s="6">
        <v>349.59142564991333</v>
      </c>
      <c r="C130" s="6">
        <v>7.8633642367923589</v>
      </c>
      <c r="D130" s="6"/>
      <c r="E130" s="6">
        <v>3.9421928388283392</v>
      </c>
      <c r="F130" s="6">
        <v>3.1285658009146422</v>
      </c>
      <c r="G130" s="6"/>
      <c r="H130" s="6">
        <v>204.16709318355529</v>
      </c>
      <c r="I130" s="6"/>
      <c r="J130" s="6"/>
      <c r="K130" s="6"/>
      <c r="L130" s="6">
        <v>368.05879914594755</v>
      </c>
      <c r="M130" s="6">
        <v>13.397124859827226</v>
      </c>
      <c r="N130" s="6"/>
      <c r="O130" s="6">
        <v>3.7166994106909135</v>
      </c>
      <c r="P130" s="6">
        <v>3.961989299765833</v>
      </c>
      <c r="Q130" s="6"/>
      <c r="R130" s="6">
        <v>158.94351823029211</v>
      </c>
      <c r="S130" s="9"/>
    </row>
    <row r="131" spans="1:20" x14ac:dyDescent="0.25">
      <c r="A131">
        <v>1924</v>
      </c>
      <c r="B131" s="6">
        <v>439.53591284916183</v>
      </c>
      <c r="C131" s="6">
        <v>8.8277414950575483</v>
      </c>
      <c r="D131" s="6"/>
      <c r="E131" s="6">
        <v>5.3894952026908376</v>
      </c>
      <c r="F131" s="6">
        <v>3.6312328851265891</v>
      </c>
      <c r="G131" s="6"/>
      <c r="H131" s="6">
        <v>227.18378800213625</v>
      </c>
      <c r="I131" s="6"/>
      <c r="J131" s="6"/>
      <c r="K131" s="6"/>
      <c r="L131" s="6">
        <v>326.09027102797808</v>
      </c>
      <c r="M131" s="6">
        <v>12.451405167888362</v>
      </c>
      <c r="N131" s="6"/>
      <c r="O131" s="6">
        <v>3.7114154008113358</v>
      </c>
      <c r="P131" s="6">
        <v>6.8735885409457707</v>
      </c>
      <c r="Q131" s="6"/>
      <c r="R131" s="6">
        <v>159.74666949829049</v>
      </c>
      <c r="S131" s="9"/>
      <c r="T131" s="3"/>
    </row>
    <row r="132" spans="1:20" x14ac:dyDescent="0.25">
      <c r="A132">
        <v>1925</v>
      </c>
      <c r="B132" s="6">
        <v>464.12019790055234</v>
      </c>
      <c r="C132" s="6">
        <v>10.172331944541813</v>
      </c>
      <c r="D132" s="6"/>
      <c r="E132" s="6">
        <v>4.8299676256488508</v>
      </c>
      <c r="F132" s="6">
        <v>4.1476669837875582</v>
      </c>
      <c r="G132" s="6"/>
      <c r="H132" s="6">
        <v>261.6478254130771</v>
      </c>
      <c r="I132" s="6"/>
      <c r="J132" s="6"/>
      <c r="K132" s="6"/>
      <c r="L132" s="6">
        <v>361.84433669222187</v>
      </c>
      <c r="M132" s="6">
        <v>17.198968042655359</v>
      </c>
      <c r="N132" s="6"/>
      <c r="O132" s="6">
        <v>2.627839285525619</v>
      </c>
      <c r="P132" s="6">
        <v>7.2686907095992623</v>
      </c>
      <c r="Q132" s="6"/>
      <c r="R132" s="6">
        <v>157.27125756717007</v>
      </c>
      <c r="S132" s="9"/>
      <c r="T132" s="3"/>
    </row>
    <row r="133" spans="1:20" x14ac:dyDescent="0.25">
      <c r="A133">
        <v>1926</v>
      </c>
      <c r="B133" s="6">
        <v>417.27241883211673</v>
      </c>
      <c r="C133" s="6">
        <v>11.322207761349482</v>
      </c>
      <c r="D133" s="6"/>
      <c r="E133" s="6">
        <v>4.5663559457493825</v>
      </c>
      <c r="F133" s="6">
        <v>4.545284509156045</v>
      </c>
      <c r="G133" s="6"/>
      <c r="H133" s="6">
        <v>265.22437446334322</v>
      </c>
      <c r="I133" s="6"/>
      <c r="J133" s="6"/>
      <c r="K133" s="6"/>
      <c r="L133" s="6">
        <v>458.01265436749958</v>
      </c>
      <c r="M133" s="6">
        <v>19.571821592292451</v>
      </c>
      <c r="N133" s="6"/>
      <c r="O133" s="6">
        <v>2.692910475664072</v>
      </c>
      <c r="P133" s="6">
        <v>9.9509520756527952</v>
      </c>
      <c r="Q133" s="6"/>
      <c r="R133" s="6">
        <v>159.03266567050784</v>
      </c>
      <c r="S133" s="9"/>
      <c r="T133" s="3"/>
    </row>
    <row r="134" spans="1:20" x14ac:dyDescent="0.25">
      <c r="A134">
        <v>1927</v>
      </c>
      <c r="B134" s="6">
        <v>426.57884897727263</v>
      </c>
      <c r="C134" s="6">
        <v>10.165078217273843</v>
      </c>
      <c r="D134" s="6"/>
      <c r="E134" s="6">
        <v>6.42269590141923</v>
      </c>
      <c r="F134" s="6">
        <v>4.7680551932379567</v>
      </c>
      <c r="G134" s="6"/>
      <c r="H134" s="6">
        <v>229.52383358750401</v>
      </c>
      <c r="I134" s="6"/>
      <c r="J134" s="6"/>
      <c r="K134" s="6"/>
      <c r="L134" s="6">
        <v>444.58758196771788</v>
      </c>
      <c r="M134" s="6">
        <v>20.306063201326719</v>
      </c>
      <c r="N134" s="6"/>
      <c r="O134" s="6">
        <v>3.8793329157329377</v>
      </c>
      <c r="P134" s="6">
        <v>9.5601115887307824</v>
      </c>
      <c r="Q134" s="6"/>
      <c r="R134" s="6">
        <v>172.16170741539716</v>
      </c>
      <c r="S134" s="9"/>
      <c r="T134" s="3"/>
    </row>
    <row r="135" spans="1:20" x14ac:dyDescent="0.25">
      <c r="A135">
        <v>1928</v>
      </c>
      <c r="B135" s="6">
        <v>444.82287343689308</v>
      </c>
      <c r="C135" s="6">
        <v>12.19101856889702</v>
      </c>
      <c r="D135" s="6"/>
      <c r="E135" s="6">
        <v>7.321990686867391</v>
      </c>
      <c r="F135" s="6">
        <v>6.5899137245460651</v>
      </c>
      <c r="G135" s="6"/>
      <c r="H135" s="6">
        <v>233.94301021671953</v>
      </c>
      <c r="I135" s="6"/>
      <c r="J135" s="6"/>
      <c r="K135" s="6"/>
      <c r="L135" s="6">
        <v>427.14982740207273</v>
      </c>
      <c r="M135" s="6">
        <v>30.903426967641469</v>
      </c>
      <c r="N135" s="6"/>
      <c r="O135" s="6">
        <v>3.58226081765708</v>
      </c>
      <c r="P135" s="6">
        <v>11.599422131923482</v>
      </c>
      <c r="Q135" s="6"/>
      <c r="R135" s="6">
        <v>178.0578244710166</v>
      </c>
      <c r="S135" s="9"/>
      <c r="T135" s="3"/>
    </row>
    <row r="136" spans="1:20" x14ac:dyDescent="0.25">
      <c r="A136">
        <v>1929</v>
      </c>
      <c r="B136" s="6">
        <v>387.71042504970166</v>
      </c>
      <c r="C136" s="6">
        <v>10.675329409680863</v>
      </c>
      <c r="D136" s="6"/>
      <c r="E136" s="6">
        <v>7.119096510465762</v>
      </c>
      <c r="F136" s="6">
        <v>6.0939798493785808</v>
      </c>
      <c r="G136" s="6"/>
      <c r="H136" s="6">
        <v>256.31863979928977</v>
      </c>
      <c r="I136" s="6"/>
      <c r="J136" s="6"/>
      <c r="K136" s="6"/>
      <c r="L136" s="6">
        <v>488.1848527046829</v>
      </c>
      <c r="M136" s="6">
        <v>17.760777998272562</v>
      </c>
      <c r="N136" s="6"/>
      <c r="O136" s="6">
        <v>3.8258679463534389</v>
      </c>
      <c r="P136" s="6">
        <v>9.2464414683398974</v>
      </c>
      <c r="Q136" s="6"/>
      <c r="R136" s="6">
        <v>188.2358701092908</v>
      </c>
      <c r="S136" s="9"/>
      <c r="T136" s="3"/>
    </row>
    <row r="137" spans="1:20" x14ac:dyDescent="0.25">
      <c r="A137">
        <v>1930</v>
      </c>
      <c r="B137" s="6">
        <v>314.97202578947349</v>
      </c>
      <c r="C137" s="6">
        <v>10.892957037437014</v>
      </c>
      <c r="D137" s="6"/>
      <c r="E137" s="6">
        <v>7.4856058043267666</v>
      </c>
      <c r="F137" s="6">
        <v>6.3609978605397615</v>
      </c>
      <c r="G137" s="6"/>
      <c r="H137" s="6">
        <v>250.99655192204693</v>
      </c>
      <c r="I137" s="6"/>
      <c r="J137" s="6"/>
      <c r="K137" s="6"/>
      <c r="L137" s="6">
        <v>456.4271451555814</v>
      </c>
      <c r="M137" s="6">
        <v>18.151984558584591</v>
      </c>
      <c r="N137" s="6"/>
      <c r="O137" s="6">
        <v>5.6616330480782295</v>
      </c>
      <c r="P137" s="6">
        <v>9.9932373739579283</v>
      </c>
      <c r="Q137" s="6"/>
      <c r="R137" s="6">
        <v>189.91506325086331</v>
      </c>
      <c r="S137" s="9"/>
      <c r="T137" s="3"/>
    </row>
    <row r="138" spans="1:20" x14ac:dyDescent="0.25">
      <c r="A138">
        <v>1931</v>
      </c>
      <c r="B138" s="6">
        <v>318.08976122199584</v>
      </c>
      <c r="C138" s="6">
        <v>8.9773267139031319</v>
      </c>
      <c r="D138" s="6"/>
      <c r="E138" s="6">
        <v>6.2487649012345354</v>
      </c>
      <c r="F138" s="6">
        <v>5.6662709901285568</v>
      </c>
      <c r="G138" s="6"/>
      <c r="H138" s="6">
        <v>157.95925241416646</v>
      </c>
      <c r="I138" s="6"/>
      <c r="J138" s="6"/>
      <c r="K138" s="6"/>
      <c r="L138" s="6">
        <v>319.88998653734336</v>
      </c>
      <c r="M138" s="6">
        <v>17.524544082539514</v>
      </c>
      <c r="N138" s="6"/>
      <c r="O138" s="6">
        <v>6.1414766177388573</v>
      </c>
      <c r="P138" s="6">
        <v>12.229025477019468</v>
      </c>
      <c r="Q138" s="6"/>
      <c r="R138" s="6">
        <v>190.85732365085457</v>
      </c>
      <c r="S138" s="9"/>
      <c r="T138" s="3"/>
    </row>
    <row r="139" spans="1:20" x14ac:dyDescent="0.25">
      <c r="A139">
        <v>1932</v>
      </c>
      <c r="B139" s="6">
        <v>347.41246560509541</v>
      </c>
      <c r="C139" s="6">
        <v>8.5209553901946293</v>
      </c>
      <c r="D139" s="6"/>
      <c r="E139" s="6">
        <v>5.1513571202470558</v>
      </c>
      <c r="F139" s="6">
        <v>5.0051736482326747</v>
      </c>
      <c r="G139" s="6"/>
      <c r="H139" s="6">
        <v>143.01328261900358</v>
      </c>
      <c r="I139" s="6"/>
      <c r="J139" s="6"/>
      <c r="K139" s="6"/>
      <c r="L139" s="6">
        <v>330.15925019315199</v>
      </c>
      <c r="M139" s="6">
        <v>25.868408172097396</v>
      </c>
      <c r="N139" s="6"/>
      <c r="O139" s="6">
        <v>3.5026977265027082</v>
      </c>
      <c r="P139" s="6">
        <v>11.513819293135096</v>
      </c>
      <c r="Q139" s="6"/>
      <c r="R139" s="6">
        <v>210.70648531054337</v>
      </c>
      <c r="S139" s="9"/>
      <c r="T139" s="3"/>
    </row>
    <row r="140" spans="1:20" x14ac:dyDescent="0.25">
      <c r="A140">
        <v>1933</v>
      </c>
      <c r="B140" s="6">
        <v>396.87054106904208</v>
      </c>
      <c r="C140" s="6">
        <v>9.4878351234016982</v>
      </c>
      <c r="D140" s="6"/>
      <c r="E140" s="6">
        <v>5.7978332942148132</v>
      </c>
      <c r="F140" s="6">
        <v>5.8121020268817709</v>
      </c>
      <c r="G140" s="6"/>
      <c r="H140" s="6">
        <v>151.38353031606252</v>
      </c>
      <c r="I140" s="6"/>
      <c r="J140" s="6"/>
      <c r="K140" s="6"/>
      <c r="L140" s="6">
        <v>335.66680884617034</v>
      </c>
      <c r="M140" s="6">
        <v>21.533683487312057</v>
      </c>
      <c r="N140" s="6"/>
      <c r="O140" s="6">
        <v>4.3438112629753478</v>
      </c>
      <c r="P140" s="6">
        <v>10.423854981057902</v>
      </c>
      <c r="Q140" s="6"/>
      <c r="R140" s="6">
        <v>243.16998450083065</v>
      </c>
      <c r="S140" s="9"/>
      <c r="T140" s="3"/>
    </row>
    <row r="141" spans="1:20" x14ac:dyDescent="0.25">
      <c r="A141">
        <v>1934</v>
      </c>
      <c r="B141" s="6">
        <v>410.19981837837821</v>
      </c>
      <c r="C141" s="6">
        <v>8.5078563756365444</v>
      </c>
      <c r="D141" s="6"/>
      <c r="E141" s="6">
        <v>5.9887530053866049</v>
      </c>
      <c r="F141" s="6">
        <v>5.3184777030006343</v>
      </c>
      <c r="G141" s="6"/>
      <c r="H141" s="6">
        <v>186.86056419244571</v>
      </c>
      <c r="I141" s="6"/>
      <c r="J141" s="6"/>
      <c r="K141" s="6"/>
      <c r="L141" s="6">
        <v>371.64214092931485</v>
      </c>
      <c r="M141" s="6">
        <v>16.188383910271462</v>
      </c>
      <c r="N141" s="6"/>
      <c r="O141" s="6">
        <v>6.3745013807655955</v>
      </c>
      <c r="P141" s="6">
        <v>6.7278590442562285</v>
      </c>
      <c r="Q141" s="6"/>
      <c r="R141" s="6">
        <v>228.70022095583371</v>
      </c>
      <c r="S141" s="9"/>
      <c r="T141" s="3"/>
    </row>
    <row r="142" spans="1:20" x14ac:dyDescent="0.25">
      <c r="A142">
        <v>1935</v>
      </c>
      <c r="B142" s="6">
        <v>425.98413087248292</v>
      </c>
      <c r="C142" s="6">
        <v>10.453294490437372</v>
      </c>
      <c r="D142" s="6"/>
      <c r="E142" s="6">
        <v>6.172719866277645</v>
      </c>
      <c r="F142" s="6">
        <v>5.9194001212133722</v>
      </c>
      <c r="G142" s="6"/>
      <c r="H142" s="6">
        <v>217.43046299513921</v>
      </c>
      <c r="I142" s="6"/>
      <c r="J142" s="6"/>
      <c r="K142" s="6"/>
      <c r="L142" s="6">
        <v>426.35795199386985</v>
      </c>
      <c r="M142" s="6">
        <v>24.338339739322372</v>
      </c>
      <c r="N142" s="6"/>
      <c r="O142" s="6">
        <v>11.318757812793205</v>
      </c>
      <c r="P142" s="6">
        <v>8.94489492450084</v>
      </c>
      <c r="Q142" s="6"/>
      <c r="R142" s="6">
        <v>228.68046568192449</v>
      </c>
      <c r="S142" s="9"/>
      <c r="T142" s="3"/>
    </row>
    <row r="143" spans="1:20" x14ac:dyDescent="0.25">
      <c r="A143">
        <v>1936</v>
      </c>
      <c r="B143" s="6">
        <v>496.54029581699319</v>
      </c>
      <c r="C143" s="6">
        <v>11.604625029550805</v>
      </c>
      <c r="D143" s="6"/>
      <c r="E143" s="6">
        <v>5.6314053212785184</v>
      </c>
      <c r="F143" s="6">
        <v>7.3917461768084163</v>
      </c>
      <c r="G143" s="6"/>
      <c r="H143" s="6">
        <v>253.42057481154873</v>
      </c>
      <c r="I143" s="6"/>
      <c r="J143" s="6"/>
      <c r="K143" s="6"/>
      <c r="L143" s="6">
        <v>390.05017394524577</v>
      </c>
      <c r="M143" s="6">
        <v>23.890740174081934</v>
      </c>
      <c r="N143" s="6"/>
      <c r="O143" s="6">
        <v>11.195928482725472</v>
      </c>
      <c r="P143" s="6">
        <v>11.282015868270568</v>
      </c>
      <c r="Q143" s="6"/>
      <c r="R143" s="6">
        <v>246.16491679778451</v>
      </c>
      <c r="S143" s="9"/>
      <c r="T143" s="3"/>
    </row>
    <row r="144" spans="1:20" x14ac:dyDescent="0.25">
      <c r="A144">
        <v>1937</v>
      </c>
      <c r="B144" s="6">
        <v>503.75925093555071</v>
      </c>
      <c r="C144" s="6">
        <v>11.019335894029147</v>
      </c>
      <c r="D144" s="6"/>
      <c r="E144" s="6">
        <v>4.1951987898225678</v>
      </c>
      <c r="F144" s="6">
        <v>7.6441077028774291</v>
      </c>
      <c r="G144" s="6"/>
      <c r="H144" s="6">
        <v>317.9191870464287</v>
      </c>
      <c r="I144" s="6"/>
      <c r="J144" s="6"/>
      <c r="K144" s="6"/>
      <c r="L144" s="6">
        <v>449.47591923122559</v>
      </c>
      <c r="M144" s="6">
        <v>22.87101120868925</v>
      </c>
      <c r="N144" s="6"/>
      <c r="O144" s="6">
        <v>9.2427191927771162</v>
      </c>
      <c r="P144" s="6">
        <v>14.196065575907994</v>
      </c>
      <c r="Q144" s="6"/>
      <c r="R144" s="6">
        <v>248.74055396669422</v>
      </c>
      <c r="S144" s="9"/>
      <c r="T144" s="3"/>
    </row>
    <row r="145" spans="1:20" x14ac:dyDescent="0.25">
      <c r="A145">
        <v>1938</v>
      </c>
      <c r="B145" s="6">
        <v>449.00773368635413</v>
      </c>
      <c r="C145" s="6">
        <v>11.266688234918407</v>
      </c>
      <c r="D145" s="6"/>
      <c r="E145" s="6">
        <v>4.564810626212366</v>
      </c>
      <c r="F145" s="6">
        <v>8.9003454155541757</v>
      </c>
      <c r="G145" s="6"/>
      <c r="H145" s="6">
        <v>311.88959577715798</v>
      </c>
      <c r="I145" s="6"/>
      <c r="J145" s="6"/>
      <c r="K145" s="6"/>
      <c r="L145" s="6">
        <v>546.00215338094131</v>
      </c>
      <c r="M145" s="6">
        <v>22.223916694842789</v>
      </c>
      <c r="N145" s="6"/>
      <c r="O145" s="6">
        <v>15.627086476292588</v>
      </c>
      <c r="P145" s="6">
        <v>13.219672338340764</v>
      </c>
      <c r="Q145" s="6"/>
      <c r="R145" s="6">
        <v>233.78894709986378</v>
      </c>
      <c r="S145" s="9"/>
      <c r="T14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6"/>
  <sheetViews>
    <sheetView tabSelected="1" workbookViewId="0">
      <pane xSplit="1" ySplit="6" topLeftCell="B16" activePane="bottomRight" state="frozen"/>
      <selection pane="topRight" activeCell="B1" sqref="B1"/>
      <selection pane="bottomLeft" activeCell="A7" sqref="A7"/>
      <selection pane="bottomRight" activeCell="B1" sqref="B1:P1"/>
    </sheetView>
  </sheetViews>
  <sheetFormatPr baseColWidth="10" defaultColWidth="9.109375" defaultRowHeight="13.2" x14ac:dyDescent="0.25"/>
  <cols>
    <col min="2" max="2" width="12.109375" customWidth="1"/>
    <col min="4" max="4" width="12" customWidth="1"/>
    <col min="6" max="6" width="12.44140625" customWidth="1"/>
    <col min="8" max="8" width="12.33203125" customWidth="1"/>
    <col min="10" max="10" width="13.109375" customWidth="1"/>
    <col min="12" max="12" width="13" customWidth="1"/>
    <col min="14" max="14" width="13.33203125" customWidth="1"/>
    <col min="16" max="16" width="13.44140625" customWidth="1"/>
  </cols>
  <sheetData>
    <row r="1" spans="1:29" ht="18" x14ac:dyDescent="0.35">
      <c r="B1" s="23" t="s">
        <v>27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5"/>
    </row>
    <row r="2" spans="1:29" ht="14.4" x14ac:dyDescent="0.3">
      <c r="A2" s="1"/>
      <c r="S2" s="16"/>
      <c r="T2" s="16"/>
      <c r="U2" s="16"/>
      <c r="V2" s="16"/>
      <c r="W2" s="16"/>
      <c r="X2" s="16" t="s">
        <v>6</v>
      </c>
      <c r="Y2" s="16"/>
      <c r="Z2" s="16"/>
      <c r="AA2" s="16"/>
      <c r="AB2" s="16"/>
      <c r="AC2" s="16"/>
    </row>
    <row r="3" spans="1:29" ht="14.4" x14ac:dyDescent="0.3">
      <c r="B3" s="26" t="s">
        <v>12</v>
      </c>
      <c r="C3" s="26"/>
      <c r="D3" s="26"/>
      <c r="E3" s="26"/>
      <c r="F3" s="26"/>
      <c r="G3" s="26"/>
      <c r="H3" s="26"/>
      <c r="J3" s="26" t="s">
        <v>11</v>
      </c>
      <c r="K3" s="26"/>
      <c r="L3" s="26"/>
      <c r="M3" s="26"/>
      <c r="N3" s="26"/>
      <c r="O3" s="26"/>
      <c r="P3" s="26"/>
      <c r="S3" s="17"/>
      <c r="T3" s="17"/>
      <c r="U3" s="17" t="s">
        <v>12</v>
      </c>
      <c r="V3" s="17"/>
      <c r="W3" s="17"/>
      <c r="Y3" s="17"/>
      <c r="Z3" s="17"/>
      <c r="AA3" s="17" t="s">
        <v>11</v>
      </c>
      <c r="AB3" s="17"/>
      <c r="AC3" s="17"/>
    </row>
    <row r="4" spans="1:29" ht="14.4" x14ac:dyDescent="0.3">
      <c r="B4" s="18" t="s">
        <v>3</v>
      </c>
      <c r="C4" s="18"/>
      <c r="D4" s="18"/>
      <c r="F4" s="18" t="s">
        <v>4</v>
      </c>
      <c r="G4" s="18"/>
      <c r="H4" s="18"/>
      <c r="J4" s="18" t="s">
        <v>2</v>
      </c>
      <c r="K4" s="18"/>
      <c r="L4" s="18"/>
      <c r="N4" s="18" t="s">
        <v>5</v>
      </c>
      <c r="O4" s="18"/>
      <c r="P4" s="18"/>
      <c r="S4" s="18" t="s">
        <v>10</v>
      </c>
      <c r="T4" s="18"/>
      <c r="V4" s="18" t="s">
        <v>7</v>
      </c>
      <c r="W4" s="18"/>
      <c r="Y4" s="18" t="s">
        <v>10</v>
      </c>
      <c r="Z4" s="18"/>
      <c r="AB4" s="18" t="s">
        <v>7</v>
      </c>
      <c r="AC4" s="18"/>
    </row>
    <row r="5" spans="1:29" x14ac:dyDescent="0.25">
      <c r="B5" s="19" t="s">
        <v>0</v>
      </c>
      <c r="C5" s="20"/>
      <c r="D5" s="19" t="s">
        <v>1</v>
      </c>
      <c r="E5" s="20"/>
      <c r="F5" s="19" t="s">
        <v>0</v>
      </c>
      <c r="G5" s="21"/>
      <c r="H5" s="19" t="s">
        <v>1</v>
      </c>
      <c r="I5" s="21"/>
      <c r="J5" s="19" t="s">
        <v>0</v>
      </c>
      <c r="K5" s="21"/>
      <c r="L5" s="19" t="s">
        <v>1</v>
      </c>
      <c r="M5" s="21"/>
      <c r="N5" s="19" t="s">
        <v>0</v>
      </c>
      <c r="O5" s="21"/>
      <c r="P5" s="19" t="s">
        <v>1</v>
      </c>
      <c r="S5" s="13" t="s">
        <v>8</v>
      </c>
      <c r="T5" s="13" t="s">
        <v>9</v>
      </c>
      <c r="V5" s="13" t="s">
        <v>8</v>
      </c>
      <c r="W5" s="13" t="s">
        <v>9</v>
      </c>
      <c r="Y5" s="13" t="s">
        <v>8</v>
      </c>
      <c r="Z5" s="13" t="s">
        <v>9</v>
      </c>
      <c r="AB5" s="13" t="s">
        <v>8</v>
      </c>
      <c r="AC5" s="13" t="s">
        <v>9</v>
      </c>
    </row>
    <row r="6" spans="1:29" x14ac:dyDescent="0.25">
      <c r="B6" s="19" t="s">
        <v>25</v>
      </c>
      <c r="C6" s="20"/>
      <c r="D6" s="19" t="s">
        <v>25</v>
      </c>
      <c r="E6" s="20"/>
      <c r="F6" s="19" t="s">
        <v>25</v>
      </c>
      <c r="G6" s="20"/>
      <c r="H6" s="19" t="s">
        <v>25</v>
      </c>
      <c r="I6" s="20"/>
      <c r="J6" s="19" t="s">
        <v>26</v>
      </c>
      <c r="K6" s="20"/>
      <c r="L6" s="19" t="s">
        <v>26</v>
      </c>
      <c r="M6" s="20"/>
      <c r="N6" s="19" t="s">
        <v>26</v>
      </c>
      <c r="O6" s="20"/>
      <c r="P6" s="19" t="s">
        <v>26</v>
      </c>
    </row>
    <row r="7" spans="1:29" x14ac:dyDescent="0.25">
      <c r="A7">
        <v>1800</v>
      </c>
      <c r="B7" s="21">
        <f>+SUM('Current prices, current borders'!B7:I7)</f>
        <v>0</v>
      </c>
      <c r="C7" s="21"/>
      <c r="D7" s="21">
        <f>+SUM('Current prices, current borders'!L7:S7)</f>
        <v>0</v>
      </c>
      <c r="E7" s="21"/>
      <c r="F7" s="21">
        <f>+SUM('Current prices, 1913 borders'!B7:I7)</f>
        <v>0</v>
      </c>
      <c r="G7" s="21"/>
      <c r="H7" s="21">
        <f>+SUM('Current prices, 1913 borders'!L7:S7)</f>
        <v>0</v>
      </c>
      <c r="I7" s="21"/>
      <c r="J7" s="21">
        <f>+SUM('Constant prices, current border'!B7:I7)</f>
        <v>0</v>
      </c>
      <c r="K7" s="21"/>
      <c r="L7" s="21">
        <f>+SUM('Constant prices, current border'!L7:S7)</f>
        <v>0</v>
      </c>
      <c r="M7" s="21"/>
      <c r="N7" s="21">
        <f>+SUM('Constant prices, 1913 borders'!B7:I7)</f>
        <v>0</v>
      </c>
      <c r="O7" s="21"/>
      <c r="P7" s="21">
        <f>+SUM('Constant prices, 1913 borders'!L7:S7)</f>
        <v>0</v>
      </c>
      <c r="Q7" s="3"/>
      <c r="R7" s="3"/>
      <c r="S7" s="20">
        <f>+COUNT('Current prices, current borders'!B7:I7)</f>
        <v>0</v>
      </c>
      <c r="T7" s="20">
        <f>+COUNT('Current prices, current borders'!L7:S7)</f>
        <v>0</v>
      </c>
      <c r="U7" s="20"/>
      <c r="V7" s="20">
        <f>+COUNT('Current prices, 1913 borders'!B7:I7)</f>
        <v>0</v>
      </c>
      <c r="W7" s="20">
        <f>+COUNT('Current prices, 1913 borders'!L7:S7)</f>
        <v>0</v>
      </c>
      <c r="X7" s="20"/>
      <c r="Y7" s="20">
        <f>+COUNT('Constant prices, current border'!B7:I7)</f>
        <v>0</v>
      </c>
      <c r="Z7" s="20">
        <f>+COUNT('Constant prices, current border'!L7:S7)</f>
        <v>0</v>
      </c>
      <c r="AA7" s="20"/>
      <c r="AB7" s="20">
        <f>+COUNT('Constant prices, 1913 borders'!B7:I7)</f>
        <v>0</v>
      </c>
      <c r="AC7" s="20">
        <f>+COUNT('Constant prices, 1913 borders'!L7:S7)</f>
        <v>0</v>
      </c>
    </row>
    <row r="8" spans="1:29" x14ac:dyDescent="0.25">
      <c r="A8">
        <v>1801</v>
      </c>
      <c r="B8" s="21">
        <f>+SUM('Current prices, current borders'!B8:I8)</f>
        <v>0</v>
      </c>
      <c r="C8" s="21"/>
      <c r="D8" s="21">
        <f>+SUM('Current prices, current borders'!L8:S8)</f>
        <v>0</v>
      </c>
      <c r="E8" s="21"/>
      <c r="F8" s="21">
        <f>+SUM('Current prices, 1913 borders'!B8:I8)</f>
        <v>0</v>
      </c>
      <c r="G8" s="21"/>
      <c r="H8" s="21">
        <f>+SUM('Current prices, 1913 borders'!L8:S8)</f>
        <v>0</v>
      </c>
      <c r="I8" s="21"/>
      <c r="J8" s="21">
        <f>+SUM('Constant prices, current border'!B8:I8)</f>
        <v>0</v>
      </c>
      <c r="K8" s="21"/>
      <c r="L8" s="21">
        <f>+SUM('Constant prices, current border'!L8:S8)</f>
        <v>0</v>
      </c>
      <c r="M8" s="21"/>
      <c r="N8" s="21">
        <f>+SUM('Constant prices, 1913 borders'!B8:I8)</f>
        <v>0</v>
      </c>
      <c r="O8" s="21"/>
      <c r="P8" s="21">
        <f>+SUM('Constant prices, 1913 borders'!L8:S8)</f>
        <v>0</v>
      </c>
      <c r="Q8" s="3"/>
      <c r="R8" s="3"/>
      <c r="S8" s="20">
        <f>+COUNT('Current prices, current borders'!B8:I8)</f>
        <v>0</v>
      </c>
      <c r="T8" s="20">
        <f>+COUNT('Current prices, current borders'!L8:S8)</f>
        <v>0</v>
      </c>
      <c r="U8" s="20"/>
      <c r="V8" s="20">
        <f>+COUNT('Current prices, 1913 borders'!B8:I8)</f>
        <v>0</v>
      </c>
      <c r="W8" s="20">
        <f>+COUNT('Current prices, 1913 borders'!L8:S8)</f>
        <v>0</v>
      </c>
      <c r="X8" s="20"/>
      <c r="Y8" s="20">
        <f>+COUNT('Constant prices, current border'!B8:I8)</f>
        <v>0</v>
      </c>
      <c r="Z8" s="20">
        <f>+COUNT('Constant prices, current border'!L8:S8)</f>
        <v>0</v>
      </c>
      <c r="AA8" s="20"/>
      <c r="AB8" s="20">
        <f>+COUNT('Constant prices, 1913 borders'!B8:I8)</f>
        <v>0</v>
      </c>
      <c r="AC8" s="20">
        <f>+COUNT('Constant prices, 1913 borders'!L8:S8)</f>
        <v>0</v>
      </c>
    </row>
    <row r="9" spans="1:29" x14ac:dyDescent="0.25">
      <c r="A9">
        <v>1802</v>
      </c>
      <c r="B9" s="21">
        <f>+SUM('Current prices, current borders'!B9:I9)</f>
        <v>0</v>
      </c>
      <c r="C9" s="21"/>
      <c r="D9" s="21">
        <f>+SUM('Current prices, current borders'!L9:S9)</f>
        <v>0</v>
      </c>
      <c r="E9" s="21"/>
      <c r="F9" s="21">
        <f>+SUM('Current prices, 1913 borders'!B9:I9)</f>
        <v>0</v>
      </c>
      <c r="G9" s="21"/>
      <c r="H9" s="21">
        <f>+SUM('Current prices, 1913 borders'!L9:S9)</f>
        <v>0</v>
      </c>
      <c r="I9" s="21"/>
      <c r="J9" s="21">
        <f>+SUM('Constant prices, current border'!B9:I9)</f>
        <v>0</v>
      </c>
      <c r="K9" s="21"/>
      <c r="L9" s="21">
        <f>+SUM('Constant prices, current border'!L9:S9)</f>
        <v>0</v>
      </c>
      <c r="M9" s="21"/>
      <c r="N9" s="21">
        <f>+SUM('Constant prices, 1913 borders'!B9:I9)</f>
        <v>0</v>
      </c>
      <c r="O9" s="21"/>
      <c r="P9" s="21">
        <f>+SUM('Constant prices, 1913 borders'!L9:S9)</f>
        <v>0</v>
      </c>
      <c r="Q9" s="3"/>
      <c r="R9" s="3"/>
      <c r="S9" s="20">
        <f>+COUNT('Current prices, current borders'!B9:I9)</f>
        <v>0</v>
      </c>
      <c r="T9" s="20">
        <f>+COUNT('Current prices, current borders'!L9:S9)</f>
        <v>0</v>
      </c>
      <c r="U9" s="20"/>
      <c r="V9" s="20">
        <f>+COUNT('Current prices, 1913 borders'!B9:I9)</f>
        <v>0</v>
      </c>
      <c r="W9" s="20">
        <f>+COUNT('Current prices, 1913 borders'!L9:S9)</f>
        <v>0</v>
      </c>
      <c r="X9" s="20"/>
      <c r="Y9" s="20">
        <f>+COUNT('Constant prices, current border'!B9:I9)</f>
        <v>0</v>
      </c>
      <c r="Z9" s="20">
        <f>+COUNT('Constant prices, current border'!L9:S9)</f>
        <v>0</v>
      </c>
      <c r="AA9" s="20"/>
      <c r="AB9" s="20">
        <f>+COUNT('Constant prices, 1913 borders'!B9:I9)</f>
        <v>0</v>
      </c>
      <c r="AC9" s="20">
        <f>+COUNT('Constant prices, 1913 borders'!L9:S9)</f>
        <v>0</v>
      </c>
    </row>
    <row r="10" spans="1:29" x14ac:dyDescent="0.25">
      <c r="A10">
        <v>1803</v>
      </c>
      <c r="B10" s="21">
        <f>+SUM('Current prices, current borders'!B10:I10)</f>
        <v>0</v>
      </c>
      <c r="C10" s="21"/>
      <c r="D10" s="21">
        <f>+SUM('Current prices, current borders'!L10:S10)</f>
        <v>0</v>
      </c>
      <c r="E10" s="21"/>
      <c r="F10" s="21">
        <f>+SUM('Current prices, 1913 borders'!B10:I10)</f>
        <v>0</v>
      </c>
      <c r="G10" s="21"/>
      <c r="H10" s="21">
        <f>+SUM('Current prices, 1913 borders'!L10:S10)</f>
        <v>0</v>
      </c>
      <c r="I10" s="21"/>
      <c r="J10" s="21">
        <f>+SUM('Constant prices, current border'!B10:I10)</f>
        <v>0</v>
      </c>
      <c r="K10" s="21"/>
      <c r="L10" s="21">
        <f>+SUM('Constant prices, current border'!L10:S10)</f>
        <v>0</v>
      </c>
      <c r="M10" s="21"/>
      <c r="N10" s="21">
        <f>+SUM('Constant prices, 1913 borders'!B10:I10)</f>
        <v>0</v>
      </c>
      <c r="O10" s="21"/>
      <c r="P10" s="21">
        <f>+SUM('Constant prices, 1913 borders'!L10:S10)</f>
        <v>0</v>
      </c>
      <c r="Q10" s="3"/>
      <c r="R10" s="3"/>
      <c r="S10" s="20">
        <f>+COUNT('Current prices, current borders'!B10:I10)</f>
        <v>0</v>
      </c>
      <c r="T10" s="20">
        <f>+COUNT('Current prices, current borders'!L10:S10)</f>
        <v>0</v>
      </c>
      <c r="U10" s="20"/>
      <c r="V10" s="20">
        <f>+COUNT('Current prices, 1913 borders'!B10:I10)</f>
        <v>0</v>
      </c>
      <c r="W10" s="20">
        <f>+COUNT('Current prices, 1913 borders'!L10:S10)</f>
        <v>0</v>
      </c>
      <c r="X10" s="20"/>
      <c r="Y10" s="20">
        <f>+COUNT('Constant prices, current border'!B10:I10)</f>
        <v>0</v>
      </c>
      <c r="Z10" s="20">
        <f>+COUNT('Constant prices, current border'!L10:S10)</f>
        <v>0</v>
      </c>
      <c r="AA10" s="20"/>
      <c r="AB10" s="20">
        <f>+COUNT('Constant prices, 1913 borders'!B10:I10)</f>
        <v>0</v>
      </c>
      <c r="AC10" s="20">
        <f>+COUNT('Constant prices, 1913 borders'!L10:S10)</f>
        <v>0</v>
      </c>
    </row>
    <row r="11" spans="1:29" x14ac:dyDescent="0.25">
      <c r="A11">
        <v>1804</v>
      </c>
      <c r="B11" s="21">
        <f>+SUM('Current prices, current borders'!B11:I11)</f>
        <v>0</v>
      </c>
      <c r="C11" s="21"/>
      <c r="D11" s="21">
        <f>+SUM('Current prices, current borders'!L11:S11)</f>
        <v>0</v>
      </c>
      <c r="E11" s="21"/>
      <c r="F11" s="21">
        <f>+SUM('Current prices, 1913 borders'!B11:I11)</f>
        <v>0</v>
      </c>
      <c r="G11" s="21"/>
      <c r="H11" s="21">
        <f>+SUM('Current prices, 1913 borders'!L11:S11)</f>
        <v>0</v>
      </c>
      <c r="I11" s="21"/>
      <c r="J11" s="21">
        <f>+SUM('Constant prices, current border'!B11:I11)</f>
        <v>0</v>
      </c>
      <c r="K11" s="21"/>
      <c r="L11" s="21">
        <f>+SUM('Constant prices, current border'!L11:S11)</f>
        <v>0</v>
      </c>
      <c r="M11" s="21"/>
      <c r="N11" s="21">
        <f>+SUM('Constant prices, 1913 borders'!B11:I11)</f>
        <v>0</v>
      </c>
      <c r="O11" s="21"/>
      <c r="P11" s="21">
        <f>+SUM('Constant prices, 1913 borders'!L11:S11)</f>
        <v>0</v>
      </c>
      <c r="Q11" s="3"/>
      <c r="R11" s="3"/>
      <c r="S11" s="20">
        <f>+COUNT('Current prices, current borders'!B11:I11)</f>
        <v>0</v>
      </c>
      <c r="T11" s="20">
        <f>+COUNT('Current prices, current borders'!L11:S11)</f>
        <v>0</v>
      </c>
      <c r="U11" s="20"/>
      <c r="V11" s="20">
        <f>+COUNT('Current prices, 1913 borders'!B11:I11)</f>
        <v>0</v>
      </c>
      <c r="W11" s="20">
        <f>+COUNT('Current prices, 1913 borders'!L11:S11)</f>
        <v>0</v>
      </c>
      <c r="X11" s="20"/>
      <c r="Y11" s="20">
        <f>+COUNT('Constant prices, current border'!B11:I11)</f>
        <v>0</v>
      </c>
      <c r="Z11" s="20">
        <f>+COUNT('Constant prices, current border'!L11:S11)</f>
        <v>0</v>
      </c>
      <c r="AA11" s="20"/>
      <c r="AB11" s="20">
        <f>+COUNT('Constant prices, 1913 borders'!B11:I11)</f>
        <v>0</v>
      </c>
      <c r="AC11" s="20">
        <f>+COUNT('Constant prices, 1913 borders'!L11:S11)</f>
        <v>0</v>
      </c>
    </row>
    <row r="12" spans="1:29" x14ac:dyDescent="0.25">
      <c r="A12">
        <v>1805</v>
      </c>
      <c r="B12" s="21">
        <f>+SUM('Current prices, current borders'!B12:I12)</f>
        <v>0</v>
      </c>
      <c r="C12" s="21"/>
      <c r="D12" s="21">
        <f>+SUM('Current prices, current borders'!L12:S12)</f>
        <v>0</v>
      </c>
      <c r="E12" s="21"/>
      <c r="F12" s="21">
        <f>+SUM('Current prices, 1913 borders'!B12:I12)</f>
        <v>0</v>
      </c>
      <c r="G12" s="21"/>
      <c r="H12" s="21">
        <f>+SUM('Current prices, 1913 borders'!L12:S12)</f>
        <v>0</v>
      </c>
      <c r="I12" s="21"/>
      <c r="J12" s="21">
        <f>+SUM('Constant prices, current border'!B12:I12)</f>
        <v>0</v>
      </c>
      <c r="K12" s="21"/>
      <c r="L12" s="21">
        <f>+SUM('Constant prices, current border'!L12:S12)</f>
        <v>0</v>
      </c>
      <c r="M12" s="21"/>
      <c r="N12" s="21">
        <f>+SUM('Constant prices, 1913 borders'!B12:I12)</f>
        <v>0</v>
      </c>
      <c r="O12" s="21"/>
      <c r="P12" s="21">
        <f>+SUM('Constant prices, 1913 borders'!L12:S12)</f>
        <v>0</v>
      </c>
      <c r="Q12" s="3"/>
      <c r="R12" s="3"/>
      <c r="S12" s="20">
        <f>+COUNT('Current prices, current borders'!B12:I12)</f>
        <v>0</v>
      </c>
      <c r="T12" s="20">
        <f>+COUNT('Current prices, current borders'!L12:S12)</f>
        <v>0</v>
      </c>
      <c r="U12" s="20"/>
      <c r="V12" s="20">
        <f>+COUNT('Current prices, 1913 borders'!B12:I12)</f>
        <v>0</v>
      </c>
      <c r="W12" s="20">
        <f>+COUNT('Current prices, 1913 borders'!L12:S12)</f>
        <v>0</v>
      </c>
      <c r="X12" s="20"/>
      <c r="Y12" s="20">
        <f>+COUNT('Constant prices, current border'!B12:I12)</f>
        <v>0</v>
      </c>
      <c r="Z12" s="20">
        <f>+COUNT('Constant prices, current border'!L12:S12)</f>
        <v>0</v>
      </c>
      <c r="AA12" s="20"/>
      <c r="AB12" s="20">
        <f>+COUNT('Constant prices, 1913 borders'!B12:I12)</f>
        <v>0</v>
      </c>
      <c r="AC12" s="20">
        <f>+COUNT('Constant prices, 1913 borders'!L12:S12)</f>
        <v>0</v>
      </c>
    </row>
    <row r="13" spans="1:29" x14ac:dyDescent="0.25">
      <c r="A13">
        <v>1806</v>
      </c>
      <c r="B13" s="21">
        <f>+SUM('Current prices, current borders'!B13:I13)</f>
        <v>0</v>
      </c>
      <c r="C13" s="21"/>
      <c r="D13" s="21">
        <f>+SUM('Current prices, current borders'!L13:S13)</f>
        <v>0</v>
      </c>
      <c r="E13" s="21"/>
      <c r="F13" s="21">
        <f>+SUM('Current prices, 1913 borders'!B13:I13)</f>
        <v>0</v>
      </c>
      <c r="G13" s="21"/>
      <c r="H13" s="21">
        <f>+SUM('Current prices, 1913 borders'!L13:S13)</f>
        <v>0</v>
      </c>
      <c r="I13" s="21"/>
      <c r="J13" s="21">
        <f>+SUM('Constant prices, current border'!B13:I13)</f>
        <v>0</v>
      </c>
      <c r="K13" s="21"/>
      <c r="L13" s="21">
        <f>+SUM('Constant prices, current border'!L13:S13)</f>
        <v>0</v>
      </c>
      <c r="M13" s="21"/>
      <c r="N13" s="21">
        <f>+SUM('Constant prices, 1913 borders'!B13:I13)</f>
        <v>0</v>
      </c>
      <c r="O13" s="21"/>
      <c r="P13" s="21">
        <f>+SUM('Constant prices, 1913 borders'!L13:S13)</f>
        <v>0</v>
      </c>
      <c r="Q13" s="3"/>
      <c r="R13" s="3"/>
      <c r="S13" s="20">
        <f>+COUNT('Current prices, current borders'!B13:I13)</f>
        <v>0</v>
      </c>
      <c r="T13" s="20">
        <f>+COUNT('Current prices, current borders'!L13:S13)</f>
        <v>0</v>
      </c>
      <c r="U13" s="20"/>
      <c r="V13" s="20">
        <f>+COUNT('Current prices, 1913 borders'!B13:I13)</f>
        <v>0</v>
      </c>
      <c r="W13" s="20">
        <f>+COUNT('Current prices, 1913 borders'!L13:S13)</f>
        <v>0</v>
      </c>
      <c r="X13" s="20"/>
      <c r="Y13" s="20">
        <f>+COUNT('Constant prices, current border'!B13:I13)</f>
        <v>0</v>
      </c>
      <c r="Z13" s="20">
        <f>+COUNT('Constant prices, current border'!L13:S13)</f>
        <v>0</v>
      </c>
      <c r="AA13" s="20"/>
      <c r="AB13" s="20">
        <f>+COUNT('Constant prices, 1913 borders'!B13:I13)</f>
        <v>0</v>
      </c>
      <c r="AC13" s="20">
        <f>+COUNT('Constant prices, 1913 borders'!L13:S13)</f>
        <v>0</v>
      </c>
    </row>
    <row r="14" spans="1:29" x14ac:dyDescent="0.25">
      <c r="A14">
        <v>1807</v>
      </c>
      <c r="B14" s="21">
        <f>+SUM('Current prices, current borders'!B14:I14)</f>
        <v>0</v>
      </c>
      <c r="C14" s="21"/>
      <c r="D14" s="21">
        <f>+SUM('Current prices, current borders'!L14:S14)</f>
        <v>0</v>
      </c>
      <c r="E14" s="21"/>
      <c r="F14" s="21">
        <f>+SUM('Current prices, 1913 borders'!B14:I14)</f>
        <v>0</v>
      </c>
      <c r="G14" s="21"/>
      <c r="H14" s="21">
        <f>+SUM('Current prices, 1913 borders'!L14:S14)</f>
        <v>0</v>
      </c>
      <c r="I14" s="21"/>
      <c r="J14" s="21">
        <f>+SUM('Constant prices, current border'!B14:I14)</f>
        <v>0</v>
      </c>
      <c r="K14" s="21"/>
      <c r="L14" s="21">
        <f>+SUM('Constant prices, current border'!L14:S14)</f>
        <v>0</v>
      </c>
      <c r="M14" s="21"/>
      <c r="N14" s="21">
        <f>+SUM('Constant prices, 1913 borders'!B14:I14)</f>
        <v>0</v>
      </c>
      <c r="O14" s="21"/>
      <c r="P14" s="21">
        <f>+SUM('Constant prices, 1913 borders'!L14:S14)</f>
        <v>0</v>
      </c>
      <c r="Q14" s="3"/>
      <c r="R14" s="3"/>
      <c r="S14" s="20">
        <f>+COUNT('Current prices, current borders'!B14:I14)</f>
        <v>0</v>
      </c>
      <c r="T14" s="20">
        <f>+COUNT('Current prices, current borders'!L14:S14)</f>
        <v>0</v>
      </c>
      <c r="U14" s="20"/>
      <c r="V14" s="20">
        <f>+COUNT('Current prices, 1913 borders'!B14:I14)</f>
        <v>0</v>
      </c>
      <c r="W14" s="20">
        <f>+COUNT('Current prices, 1913 borders'!L14:S14)</f>
        <v>0</v>
      </c>
      <c r="X14" s="20"/>
      <c r="Y14" s="20">
        <f>+COUNT('Constant prices, current border'!B14:I14)</f>
        <v>0</v>
      </c>
      <c r="Z14" s="20">
        <f>+COUNT('Constant prices, current border'!L14:S14)</f>
        <v>0</v>
      </c>
      <c r="AA14" s="20"/>
      <c r="AB14" s="20">
        <f>+COUNT('Constant prices, 1913 borders'!B14:I14)</f>
        <v>0</v>
      </c>
      <c r="AC14" s="20">
        <f>+COUNT('Constant prices, 1913 borders'!L14:S14)</f>
        <v>0</v>
      </c>
    </row>
    <row r="15" spans="1:29" x14ac:dyDescent="0.25">
      <c r="A15">
        <v>1808</v>
      </c>
      <c r="B15" s="21">
        <f>+SUM('Current prices, current borders'!B15:I15)</f>
        <v>0</v>
      </c>
      <c r="C15" s="21"/>
      <c r="D15" s="21">
        <f>+SUM('Current prices, current borders'!L15:S15)</f>
        <v>0</v>
      </c>
      <c r="E15" s="21"/>
      <c r="F15" s="21">
        <f>+SUM('Current prices, 1913 borders'!B15:I15)</f>
        <v>0</v>
      </c>
      <c r="G15" s="21"/>
      <c r="H15" s="21">
        <f>+SUM('Current prices, 1913 borders'!L15:S15)</f>
        <v>0</v>
      </c>
      <c r="I15" s="21"/>
      <c r="J15" s="21">
        <f>+SUM('Constant prices, current border'!B15:I15)</f>
        <v>0</v>
      </c>
      <c r="K15" s="21"/>
      <c r="L15" s="21">
        <f>+SUM('Constant prices, current border'!L15:S15)</f>
        <v>0</v>
      </c>
      <c r="M15" s="21"/>
      <c r="N15" s="21">
        <f>+SUM('Constant prices, 1913 borders'!B15:I15)</f>
        <v>0</v>
      </c>
      <c r="O15" s="21"/>
      <c r="P15" s="21">
        <f>+SUM('Constant prices, 1913 borders'!L15:S15)</f>
        <v>0</v>
      </c>
      <c r="Q15" s="3"/>
      <c r="R15" s="3"/>
      <c r="S15" s="20">
        <f>+COUNT('Current prices, current borders'!B15:I15)</f>
        <v>0</v>
      </c>
      <c r="T15" s="20">
        <f>+COUNT('Current prices, current borders'!L15:S15)</f>
        <v>0</v>
      </c>
      <c r="U15" s="20"/>
      <c r="V15" s="20">
        <f>+COUNT('Current prices, 1913 borders'!B15:I15)</f>
        <v>0</v>
      </c>
      <c r="W15" s="20">
        <f>+COUNT('Current prices, 1913 borders'!L15:S15)</f>
        <v>0</v>
      </c>
      <c r="X15" s="20"/>
      <c r="Y15" s="20">
        <f>+COUNT('Constant prices, current border'!B15:I15)</f>
        <v>0</v>
      </c>
      <c r="Z15" s="20">
        <f>+COUNT('Constant prices, current border'!L15:S15)</f>
        <v>0</v>
      </c>
      <c r="AA15" s="20"/>
      <c r="AB15" s="20">
        <f>+COUNT('Constant prices, 1913 borders'!B15:I15)</f>
        <v>0</v>
      </c>
      <c r="AC15" s="20">
        <f>+COUNT('Constant prices, 1913 borders'!L15:S15)</f>
        <v>0</v>
      </c>
    </row>
    <row r="16" spans="1:29" x14ac:dyDescent="0.25">
      <c r="A16">
        <v>1809</v>
      </c>
      <c r="B16" s="21">
        <f>+SUM('Current prices, current borders'!B16:I16)</f>
        <v>0</v>
      </c>
      <c r="C16" s="21"/>
      <c r="D16" s="21">
        <f>+SUM('Current prices, current borders'!L16:S16)</f>
        <v>0</v>
      </c>
      <c r="E16" s="21"/>
      <c r="F16" s="21">
        <f>+SUM('Current prices, 1913 borders'!B16:I16)</f>
        <v>0</v>
      </c>
      <c r="G16" s="21"/>
      <c r="H16" s="21">
        <f>+SUM('Current prices, 1913 borders'!L16:S16)</f>
        <v>0</v>
      </c>
      <c r="I16" s="21"/>
      <c r="J16" s="21">
        <f>+SUM('Constant prices, current border'!B16:I16)</f>
        <v>0</v>
      </c>
      <c r="K16" s="21"/>
      <c r="L16" s="21">
        <f>+SUM('Constant prices, current border'!L16:S16)</f>
        <v>0</v>
      </c>
      <c r="M16" s="21"/>
      <c r="N16" s="21">
        <f>+SUM('Constant prices, 1913 borders'!B16:I16)</f>
        <v>0</v>
      </c>
      <c r="O16" s="21"/>
      <c r="P16" s="21">
        <f>+SUM('Constant prices, 1913 borders'!L16:S16)</f>
        <v>0</v>
      </c>
      <c r="Q16" s="3"/>
      <c r="R16" s="3"/>
      <c r="S16" s="20">
        <f>+COUNT('Current prices, current borders'!B16:I16)</f>
        <v>0</v>
      </c>
      <c r="T16" s="20">
        <f>+COUNT('Current prices, current borders'!L16:S16)</f>
        <v>0</v>
      </c>
      <c r="U16" s="20"/>
      <c r="V16" s="20">
        <f>+COUNT('Current prices, 1913 borders'!B16:I16)</f>
        <v>0</v>
      </c>
      <c r="W16" s="20">
        <f>+COUNT('Current prices, 1913 borders'!L16:S16)</f>
        <v>0</v>
      </c>
      <c r="X16" s="20"/>
      <c r="Y16" s="20">
        <f>+COUNT('Constant prices, current border'!B16:I16)</f>
        <v>0</v>
      </c>
      <c r="Z16" s="20">
        <f>+COUNT('Constant prices, current border'!L16:S16)</f>
        <v>0</v>
      </c>
      <c r="AA16" s="20"/>
      <c r="AB16" s="20">
        <f>+COUNT('Constant prices, 1913 borders'!B16:I16)</f>
        <v>0</v>
      </c>
      <c r="AC16" s="20">
        <f>+COUNT('Constant prices, 1913 borders'!L16:S16)</f>
        <v>0</v>
      </c>
    </row>
    <row r="17" spans="1:29" x14ac:dyDescent="0.25">
      <c r="A17">
        <v>1810</v>
      </c>
      <c r="B17" s="21">
        <f>+SUM('Current prices, current borders'!B17:I17)</f>
        <v>0</v>
      </c>
      <c r="C17" s="21"/>
      <c r="D17" s="21">
        <f>+SUM('Current prices, current borders'!L17:S17)</f>
        <v>0</v>
      </c>
      <c r="E17" s="21"/>
      <c r="F17" s="21">
        <f>+SUM('Current prices, 1913 borders'!B17:I17)</f>
        <v>0</v>
      </c>
      <c r="G17" s="21"/>
      <c r="H17" s="21">
        <f>+SUM('Current prices, 1913 borders'!L17:S17)</f>
        <v>0</v>
      </c>
      <c r="I17" s="21"/>
      <c r="J17" s="21">
        <f>+SUM('Constant prices, current border'!B17:I17)</f>
        <v>0</v>
      </c>
      <c r="K17" s="21"/>
      <c r="L17" s="21">
        <f>+SUM('Constant prices, current border'!L17:S17)</f>
        <v>0</v>
      </c>
      <c r="M17" s="21"/>
      <c r="N17" s="21">
        <f>+SUM('Constant prices, 1913 borders'!B17:I17)</f>
        <v>0</v>
      </c>
      <c r="O17" s="21"/>
      <c r="P17" s="21">
        <f>+SUM('Constant prices, 1913 borders'!L17:S17)</f>
        <v>0</v>
      </c>
      <c r="Q17" s="3"/>
      <c r="R17" s="3"/>
      <c r="S17" s="20">
        <f>+COUNT('Current prices, current borders'!B17:I17)</f>
        <v>0</v>
      </c>
      <c r="T17" s="20">
        <f>+COUNT('Current prices, current borders'!L17:S17)</f>
        <v>0</v>
      </c>
      <c r="U17" s="20"/>
      <c r="V17" s="20">
        <f>+COUNT('Current prices, 1913 borders'!B17:I17)</f>
        <v>0</v>
      </c>
      <c r="W17" s="20">
        <f>+COUNT('Current prices, 1913 borders'!L17:S17)</f>
        <v>0</v>
      </c>
      <c r="X17" s="20"/>
      <c r="Y17" s="20">
        <f>+COUNT('Constant prices, current border'!B17:I17)</f>
        <v>0</v>
      </c>
      <c r="Z17" s="20">
        <f>+COUNT('Constant prices, current border'!L17:S17)</f>
        <v>0</v>
      </c>
      <c r="AA17" s="20"/>
      <c r="AB17" s="20">
        <f>+COUNT('Constant prices, 1913 borders'!B17:I17)</f>
        <v>0</v>
      </c>
      <c r="AC17" s="20">
        <f>+COUNT('Constant prices, 1913 borders'!L17:S17)</f>
        <v>0</v>
      </c>
    </row>
    <row r="18" spans="1:29" x14ac:dyDescent="0.25">
      <c r="A18">
        <v>1811</v>
      </c>
      <c r="B18" s="21">
        <f>+SUM('Current prices, current borders'!B18:I18)</f>
        <v>0</v>
      </c>
      <c r="C18" s="21"/>
      <c r="D18" s="21">
        <f>+SUM('Current prices, current borders'!L18:S18)</f>
        <v>0</v>
      </c>
      <c r="E18" s="21"/>
      <c r="F18" s="21">
        <f>+SUM('Current prices, 1913 borders'!B18:I18)</f>
        <v>0</v>
      </c>
      <c r="G18" s="21"/>
      <c r="H18" s="21">
        <f>+SUM('Current prices, 1913 borders'!L18:S18)</f>
        <v>0</v>
      </c>
      <c r="I18" s="21"/>
      <c r="J18" s="21">
        <f>+SUM('Constant prices, current border'!B18:I18)</f>
        <v>0</v>
      </c>
      <c r="K18" s="21"/>
      <c r="L18" s="21">
        <f>+SUM('Constant prices, current border'!L18:S18)</f>
        <v>0</v>
      </c>
      <c r="M18" s="21"/>
      <c r="N18" s="21">
        <f>+SUM('Constant prices, 1913 borders'!B18:I18)</f>
        <v>0</v>
      </c>
      <c r="O18" s="21"/>
      <c r="P18" s="21">
        <f>+SUM('Constant prices, 1913 borders'!L18:S18)</f>
        <v>0</v>
      </c>
      <c r="Q18" s="3"/>
      <c r="R18" s="3"/>
      <c r="S18" s="20">
        <f>+COUNT('Current prices, current borders'!B18:I18)</f>
        <v>0</v>
      </c>
      <c r="T18" s="20">
        <f>+COUNT('Current prices, current borders'!L18:S18)</f>
        <v>0</v>
      </c>
      <c r="U18" s="20"/>
      <c r="V18" s="20">
        <f>+COUNT('Current prices, 1913 borders'!B18:I18)</f>
        <v>0</v>
      </c>
      <c r="W18" s="20">
        <f>+COUNT('Current prices, 1913 borders'!L18:S18)</f>
        <v>0</v>
      </c>
      <c r="X18" s="20"/>
      <c r="Y18" s="20">
        <f>+COUNT('Constant prices, current border'!B18:I18)</f>
        <v>0</v>
      </c>
      <c r="Z18" s="20">
        <f>+COUNT('Constant prices, current border'!L18:S18)</f>
        <v>0</v>
      </c>
      <c r="AA18" s="20"/>
      <c r="AB18" s="20">
        <f>+COUNT('Constant prices, 1913 borders'!B18:I18)</f>
        <v>0</v>
      </c>
      <c r="AC18" s="20">
        <f>+COUNT('Constant prices, 1913 borders'!L18:S18)</f>
        <v>0</v>
      </c>
    </row>
    <row r="19" spans="1:29" x14ac:dyDescent="0.25">
      <c r="A19">
        <v>1812</v>
      </c>
      <c r="B19" s="21">
        <f>+SUM('Current prices, current borders'!B19:I19)</f>
        <v>0</v>
      </c>
      <c r="C19" s="21"/>
      <c r="D19" s="21">
        <f>+SUM('Current prices, current borders'!L19:S19)</f>
        <v>0</v>
      </c>
      <c r="E19" s="21"/>
      <c r="F19" s="21">
        <f>+SUM('Current prices, 1913 borders'!B19:I19)</f>
        <v>0</v>
      </c>
      <c r="G19" s="21"/>
      <c r="H19" s="21">
        <f>+SUM('Current prices, 1913 borders'!L19:S19)</f>
        <v>0</v>
      </c>
      <c r="I19" s="21"/>
      <c r="J19" s="21">
        <f>+SUM('Constant prices, current border'!B19:I19)</f>
        <v>0</v>
      </c>
      <c r="K19" s="21"/>
      <c r="L19" s="21">
        <f>+SUM('Constant prices, current border'!L19:S19)</f>
        <v>0</v>
      </c>
      <c r="M19" s="21"/>
      <c r="N19" s="21">
        <f>+SUM('Constant prices, 1913 borders'!B19:I19)</f>
        <v>0</v>
      </c>
      <c r="O19" s="21"/>
      <c r="P19" s="21">
        <f>+SUM('Constant prices, 1913 borders'!L19:S19)</f>
        <v>0</v>
      </c>
      <c r="Q19" s="3"/>
      <c r="R19" s="3"/>
      <c r="S19" s="20">
        <f>+COUNT('Current prices, current borders'!B19:I19)</f>
        <v>0</v>
      </c>
      <c r="T19" s="20">
        <f>+COUNT('Current prices, current borders'!L19:S19)</f>
        <v>0</v>
      </c>
      <c r="U19" s="20"/>
      <c r="V19" s="20">
        <f>+COUNT('Current prices, 1913 borders'!B19:I19)</f>
        <v>0</v>
      </c>
      <c r="W19" s="20">
        <f>+COUNT('Current prices, 1913 borders'!L19:S19)</f>
        <v>0</v>
      </c>
      <c r="X19" s="20"/>
      <c r="Y19" s="20">
        <f>+COUNT('Constant prices, current border'!B19:I19)</f>
        <v>0</v>
      </c>
      <c r="Z19" s="20">
        <f>+COUNT('Constant prices, current border'!L19:S19)</f>
        <v>0</v>
      </c>
      <c r="AA19" s="20"/>
      <c r="AB19" s="20">
        <f>+COUNT('Constant prices, 1913 borders'!B19:I19)</f>
        <v>0</v>
      </c>
      <c r="AC19" s="20">
        <f>+COUNT('Constant prices, 1913 borders'!L19:S19)</f>
        <v>0</v>
      </c>
    </row>
    <row r="20" spans="1:29" x14ac:dyDescent="0.25">
      <c r="A20">
        <v>1813</v>
      </c>
      <c r="B20" s="21">
        <f>+SUM('Current prices, current borders'!B20:I20)</f>
        <v>0</v>
      </c>
      <c r="C20" s="21"/>
      <c r="D20" s="21">
        <f>+SUM('Current prices, current borders'!L20:S20)</f>
        <v>0</v>
      </c>
      <c r="E20" s="21"/>
      <c r="F20" s="21">
        <f>+SUM('Current prices, 1913 borders'!B20:I20)</f>
        <v>0</v>
      </c>
      <c r="G20" s="21"/>
      <c r="H20" s="21">
        <f>+SUM('Current prices, 1913 borders'!L20:S20)</f>
        <v>0</v>
      </c>
      <c r="I20" s="21"/>
      <c r="J20" s="21">
        <f>+SUM('Constant prices, current border'!B20:I20)</f>
        <v>0</v>
      </c>
      <c r="K20" s="21"/>
      <c r="L20" s="21">
        <f>+SUM('Constant prices, current border'!L20:S20)</f>
        <v>0</v>
      </c>
      <c r="M20" s="21"/>
      <c r="N20" s="21">
        <f>+SUM('Constant prices, 1913 borders'!B20:I20)</f>
        <v>0</v>
      </c>
      <c r="O20" s="21"/>
      <c r="P20" s="21">
        <f>+SUM('Constant prices, 1913 borders'!L20:S20)</f>
        <v>0</v>
      </c>
      <c r="Q20" s="3"/>
      <c r="R20" s="3"/>
      <c r="S20" s="20">
        <f>+COUNT('Current prices, current borders'!B20:I20)</f>
        <v>0</v>
      </c>
      <c r="T20" s="20">
        <f>+COUNT('Current prices, current borders'!L20:S20)</f>
        <v>0</v>
      </c>
      <c r="U20" s="20"/>
      <c r="V20" s="20">
        <f>+COUNT('Current prices, 1913 borders'!B20:I20)</f>
        <v>0</v>
      </c>
      <c r="W20" s="20">
        <f>+COUNT('Current prices, 1913 borders'!L20:S20)</f>
        <v>0</v>
      </c>
      <c r="X20" s="20"/>
      <c r="Y20" s="20">
        <f>+COUNT('Constant prices, current border'!B20:I20)</f>
        <v>0</v>
      </c>
      <c r="Z20" s="20">
        <f>+COUNT('Constant prices, current border'!L20:S20)</f>
        <v>0</v>
      </c>
      <c r="AA20" s="20"/>
      <c r="AB20" s="20">
        <f>+COUNT('Constant prices, 1913 borders'!B20:I20)</f>
        <v>0</v>
      </c>
      <c r="AC20" s="20">
        <f>+COUNT('Constant prices, 1913 borders'!L20:S20)</f>
        <v>0</v>
      </c>
    </row>
    <row r="21" spans="1:29" x14ac:dyDescent="0.25">
      <c r="A21">
        <v>1814</v>
      </c>
      <c r="B21" s="21">
        <f>+SUM('Current prices, current borders'!B21:I21)</f>
        <v>0</v>
      </c>
      <c r="C21" s="21"/>
      <c r="D21" s="21">
        <f>+SUM('Current prices, current borders'!L21:S21)</f>
        <v>0</v>
      </c>
      <c r="E21" s="21"/>
      <c r="F21" s="21">
        <f>+SUM('Current prices, 1913 borders'!B21:I21)</f>
        <v>0</v>
      </c>
      <c r="G21" s="21"/>
      <c r="H21" s="21">
        <f>+SUM('Current prices, 1913 borders'!L21:S21)</f>
        <v>0</v>
      </c>
      <c r="I21" s="21"/>
      <c r="J21" s="21">
        <f>+SUM('Constant prices, current border'!B21:I21)</f>
        <v>0</v>
      </c>
      <c r="K21" s="21"/>
      <c r="L21" s="21">
        <f>+SUM('Constant prices, current border'!L21:S21)</f>
        <v>0</v>
      </c>
      <c r="M21" s="21"/>
      <c r="N21" s="21">
        <f>+SUM('Constant prices, 1913 borders'!B21:I21)</f>
        <v>0</v>
      </c>
      <c r="O21" s="21"/>
      <c r="P21" s="21">
        <f>+SUM('Constant prices, 1913 borders'!L21:S21)</f>
        <v>0</v>
      </c>
      <c r="Q21" s="3"/>
      <c r="R21" s="3"/>
      <c r="S21" s="20">
        <f>+COUNT('Current prices, current borders'!B21:I21)</f>
        <v>0</v>
      </c>
      <c r="T21" s="20">
        <f>+COUNT('Current prices, current borders'!L21:S21)</f>
        <v>0</v>
      </c>
      <c r="U21" s="20"/>
      <c r="V21" s="20">
        <f>+COUNT('Current prices, 1913 borders'!B21:I21)</f>
        <v>0</v>
      </c>
      <c r="W21" s="20">
        <f>+COUNT('Current prices, 1913 borders'!L21:S21)</f>
        <v>0</v>
      </c>
      <c r="X21" s="20"/>
      <c r="Y21" s="20">
        <f>+COUNT('Constant prices, current border'!B21:I21)</f>
        <v>0</v>
      </c>
      <c r="Z21" s="20">
        <f>+COUNT('Constant prices, current border'!L21:S21)</f>
        <v>0</v>
      </c>
      <c r="AA21" s="20"/>
      <c r="AB21" s="20">
        <f>+COUNT('Constant prices, 1913 borders'!B21:I21)</f>
        <v>0</v>
      </c>
      <c r="AC21" s="20">
        <f>+COUNT('Constant prices, 1913 borders'!L21:S21)</f>
        <v>0</v>
      </c>
    </row>
    <row r="22" spans="1:29" x14ac:dyDescent="0.25">
      <c r="A22">
        <v>1815</v>
      </c>
      <c r="B22" s="21">
        <f>+SUM('Current prices, current borders'!B22:I22)</f>
        <v>0</v>
      </c>
      <c r="C22" s="21"/>
      <c r="D22" s="21">
        <f>+SUM('Current prices, current borders'!L22:S22)</f>
        <v>0</v>
      </c>
      <c r="E22" s="21"/>
      <c r="F22" s="21">
        <f>+SUM('Current prices, 1913 borders'!B22:I22)</f>
        <v>0</v>
      </c>
      <c r="G22" s="21"/>
      <c r="H22" s="21">
        <f>+SUM('Current prices, 1913 borders'!L22:S22)</f>
        <v>0</v>
      </c>
      <c r="I22" s="21"/>
      <c r="J22" s="21">
        <f>+SUM('Constant prices, current border'!B22:I22)</f>
        <v>0</v>
      </c>
      <c r="K22" s="21"/>
      <c r="L22" s="21">
        <f>+SUM('Constant prices, current border'!L22:S22)</f>
        <v>0</v>
      </c>
      <c r="M22" s="21"/>
      <c r="N22" s="21">
        <f>+SUM('Constant prices, 1913 borders'!B22:I22)</f>
        <v>0</v>
      </c>
      <c r="O22" s="21"/>
      <c r="P22" s="21">
        <f>+SUM('Constant prices, 1913 borders'!L22:S22)</f>
        <v>0</v>
      </c>
      <c r="Q22" s="3"/>
      <c r="R22" s="3"/>
      <c r="S22" s="20">
        <f>+COUNT('Current prices, current borders'!B22:I22)</f>
        <v>0</v>
      </c>
      <c r="T22" s="20">
        <f>+COUNT('Current prices, current borders'!L22:S22)</f>
        <v>0</v>
      </c>
      <c r="U22" s="20"/>
      <c r="V22" s="20">
        <f>+COUNT('Current prices, 1913 borders'!B22:I22)</f>
        <v>0</v>
      </c>
      <c r="W22" s="20">
        <f>+COUNT('Current prices, 1913 borders'!L22:S22)</f>
        <v>0</v>
      </c>
      <c r="X22" s="20"/>
      <c r="Y22" s="20">
        <f>+COUNT('Constant prices, current border'!B22:I22)</f>
        <v>0</v>
      </c>
      <c r="Z22" s="20">
        <f>+COUNT('Constant prices, current border'!L22:S22)</f>
        <v>0</v>
      </c>
      <c r="AA22" s="20"/>
      <c r="AB22" s="20">
        <f>+COUNT('Constant prices, 1913 borders'!B22:I22)</f>
        <v>0</v>
      </c>
      <c r="AC22" s="20">
        <f>+COUNT('Constant prices, 1913 borders'!L22:S22)</f>
        <v>0</v>
      </c>
    </row>
    <row r="23" spans="1:29" x14ac:dyDescent="0.25">
      <c r="A23">
        <v>1816</v>
      </c>
      <c r="B23" s="21">
        <f>+SUM('Current prices, current borders'!B23:I23)</f>
        <v>0</v>
      </c>
      <c r="C23" s="21"/>
      <c r="D23" s="21">
        <f>+SUM('Current prices, current borders'!L23:S23)</f>
        <v>0</v>
      </c>
      <c r="E23" s="21"/>
      <c r="F23" s="21">
        <f>+SUM('Current prices, 1913 borders'!B23:I23)</f>
        <v>0</v>
      </c>
      <c r="G23" s="21"/>
      <c r="H23" s="21">
        <f>+SUM('Current prices, 1913 borders'!L23:S23)</f>
        <v>0</v>
      </c>
      <c r="I23" s="21"/>
      <c r="J23" s="21">
        <f>+SUM('Constant prices, current border'!B23:I23)</f>
        <v>0</v>
      </c>
      <c r="K23" s="21"/>
      <c r="L23" s="21">
        <f>+SUM('Constant prices, current border'!L23:S23)</f>
        <v>0</v>
      </c>
      <c r="M23" s="21"/>
      <c r="N23" s="21">
        <f>+SUM('Constant prices, 1913 borders'!B23:I23)</f>
        <v>0</v>
      </c>
      <c r="O23" s="21"/>
      <c r="P23" s="21">
        <f>+SUM('Constant prices, 1913 borders'!L23:S23)</f>
        <v>0</v>
      </c>
      <c r="Q23" s="3"/>
      <c r="R23" s="3"/>
      <c r="S23" s="20">
        <f>+COUNT('Current prices, current borders'!B23:I23)</f>
        <v>0</v>
      </c>
      <c r="T23" s="20">
        <f>+COUNT('Current prices, current borders'!L23:S23)</f>
        <v>0</v>
      </c>
      <c r="U23" s="20"/>
      <c r="V23" s="20">
        <f>+COUNT('Current prices, 1913 borders'!B23:I23)</f>
        <v>0</v>
      </c>
      <c r="W23" s="20">
        <f>+COUNT('Current prices, 1913 borders'!L23:S23)</f>
        <v>0</v>
      </c>
      <c r="X23" s="20"/>
      <c r="Y23" s="20">
        <f>+COUNT('Constant prices, current border'!B23:I23)</f>
        <v>0</v>
      </c>
      <c r="Z23" s="20">
        <f>+COUNT('Constant prices, current border'!L23:S23)</f>
        <v>0</v>
      </c>
      <c r="AA23" s="20"/>
      <c r="AB23" s="20">
        <f>+COUNT('Constant prices, 1913 borders'!B23:I23)</f>
        <v>0</v>
      </c>
      <c r="AC23" s="20">
        <f>+COUNT('Constant prices, 1913 borders'!L23:S23)</f>
        <v>0</v>
      </c>
    </row>
    <row r="24" spans="1:29" x14ac:dyDescent="0.25">
      <c r="A24">
        <v>1817</v>
      </c>
      <c r="B24" s="21">
        <f>+SUM('Current prices, current borders'!B24:I24)</f>
        <v>0</v>
      </c>
      <c r="C24" s="21"/>
      <c r="D24" s="21">
        <f>+SUM('Current prices, current borders'!L24:S24)</f>
        <v>0</v>
      </c>
      <c r="E24" s="21"/>
      <c r="F24" s="21">
        <f>+SUM('Current prices, 1913 borders'!B24:I24)</f>
        <v>0</v>
      </c>
      <c r="G24" s="21"/>
      <c r="H24" s="21">
        <f>+SUM('Current prices, 1913 borders'!L24:S24)</f>
        <v>0</v>
      </c>
      <c r="I24" s="21"/>
      <c r="J24" s="21">
        <f>+SUM('Constant prices, current border'!B24:I24)</f>
        <v>0</v>
      </c>
      <c r="K24" s="21"/>
      <c r="L24" s="21">
        <f>+SUM('Constant prices, current border'!L24:S24)</f>
        <v>0</v>
      </c>
      <c r="M24" s="21"/>
      <c r="N24" s="21">
        <f>+SUM('Constant prices, 1913 borders'!B24:I24)</f>
        <v>0</v>
      </c>
      <c r="O24" s="21"/>
      <c r="P24" s="21">
        <f>+SUM('Constant prices, 1913 borders'!L24:S24)</f>
        <v>0</v>
      </c>
      <c r="Q24" s="3"/>
      <c r="R24" s="3"/>
      <c r="S24" s="20">
        <f>+COUNT('Current prices, current borders'!B24:I24)</f>
        <v>0</v>
      </c>
      <c r="T24" s="20">
        <f>+COUNT('Current prices, current borders'!L24:S24)</f>
        <v>0</v>
      </c>
      <c r="U24" s="20"/>
      <c r="V24" s="20">
        <f>+COUNT('Current prices, 1913 borders'!B24:I24)</f>
        <v>0</v>
      </c>
      <c r="W24" s="20">
        <f>+COUNT('Current prices, 1913 borders'!L24:S24)</f>
        <v>0</v>
      </c>
      <c r="X24" s="20"/>
      <c r="Y24" s="20">
        <f>+COUNT('Constant prices, current border'!B24:I24)</f>
        <v>0</v>
      </c>
      <c r="Z24" s="20">
        <f>+COUNT('Constant prices, current border'!L24:S24)</f>
        <v>0</v>
      </c>
      <c r="AA24" s="20"/>
      <c r="AB24" s="20">
        <f>+COUNT('Constant prices, 1913 borders'!B24:I24)</f>
        <v>0</v>
      </c>
      <c r="AC24" s="20">
        <f>+COUNT('Constant prices, 1913 borders'!L24:S24)</f>
        <v>0</v>
      </c>
    </row>
    <row r="25" spans="1:29" x14ac:dyDescent="0.25">
      <c r="A25">
        <v>1818</v>
      </c>
      <c r="B25" s="21">
        <f>+SUM('Current prices, current borders'!B25:I25)</f>
        <v>0</v>
      </c>
      <c r="C25" s="21"/>
      <c r="D25" s="21">
        <f>+SUM('Current prices, current borders'!L25:S25)</f>
        <v>0</v>
      </c>
      <c r="E25" s="21"/>
      <c r="F25" s="21">
        <f>+SUM('Current prices, 1913 borders'!B25:I25)</f>
        <v>0</v>
      </c>
      <c r="G25" s="21"/>
      <c r="H25" s="21">
        <f>+SUM('Current prices, 1913 borders'!L25:S25)</f>
        <v>0</v>
      </c>
      <c r="I25" s="21"/>
      <c r="J25" s="21">
        <f>+SUM('Constant prices, current border'!B25:I25)</f>
        <v>0</v>
      </c>
      <c r="K25" s="21"/>
      <c r="L25" s="21">
        <f>+SUM('Constant prices, current border'!L25:S25)</f>
        <v>0</v>
      </c>
      <c r="M25" s="21"/>
      <c r="N25" s="21">
        <f>+SUM('Constant prices, 1913 borders'!B25:I25)</f>
        <v>0</v>
      </c>
      <c r="O25" s="21"/>
      <c r="P25" s="21">
        <f>+SUM('Constant prices, 1913 borders'!L25:S25)</f>
        <v>0</v>
      </c>
      <c r="Q25" s="3"/>
      <c r="R25" s="3"/>
      <c r="S25" s="20">
        <f>+COUNT('Current prices, current borders'!B25:I25)</f>
        <v>0</v>
      </c>
      <c r="T25" s="20">
        <f>+COUNT('Current prices, current borders'!L25:S25)</f>
        <v>0</v>
      </c>
      <c r="U25" s="20"/>
      <c r="V25" s="20">
        <f>+COUNT('Current prices, 1913 borders'!B25:I25)</f>
        <v>0</v>
      </c>
      <c r="W25" s="20">
        <f>+COUNT('Current prices, 1913 borders'!L25:S25)</f>
        <v>0</v>
      </c>
      <c r="X25" s="20"/>
      <c r="Y25" s="20">
        <f>+COUNT('Constant prices, current border'!B25:I25)</f>
        <v>0</v>
      </c>
      <c r="Z25" s="20">
        <f>+COUNT('Constant prices, current border'!L25:S25)</f>
        <v>0</v>
      </c>
      <c r="AA25" s="20"/>
      <c r="AB25" s="20">
        <f>+COUNT('Constant prices, 1913 borders'!B25:I25)</f>
        <v>0</v>
      </c>
      <c r="AC25" s="20">
        <f>+COUNT('Constant prices, 1913 borders'!L25:S25)</f>
        <v>0</v>
      </c>
    </row>
    <row r="26" spans="1:29" x14ac:dyDescent="0.25">
      <c r="A26">
        <v>1819</v>
      </c>
      <c r="B26" s="21">
        <f>+SUM('Current prices, current borders'!B26:I26)</f>
        <v>0</v>
      </c>
      <c r="C26" s="21"/>
      <c r="D26" s="21">
        <f>+SUM('Current prices, current borders'!L26:S26)</f>
        <v>0</v>
      </c>
      <c r="E26" s="21"/>
      <c r="F26" s="21">
        <f>+SUM('Current prices, 1913 borders'!B26:I26)</f>
        <v>0</v>
      </c>
      <c r="G26" s="21"/>
      <c r="H26" s="21">
        <f>+SUM('Current prices, 1913 borders'!L26:S26)</f>
        <v>0</v>
      </c>
      <c r="I26" s="21"/>
      <c r="J26" s="21">
        <f>+SUM('Constant prices, current border'!B26:I26)</f>
        <v>0</v>
      </c>
      <c r="K26" s="21"/>
      <c r="L26" s="21">
        <f>+SUM('Constant prices, current border'!L26:S26)</f>
        <v>0</v>
      </c>
      <c r="M26" s="21"/>
      <c r="N26" s="21">
        <f>+SUM('Constant prices, 1913 borders'!B26:I26)</f>
        <v>0</v>
      </c>
      <c r="O26" s="21"/>
      <c r="P26" s="21">
        <f>+SUM('Constant prices, 1913 borders'!L26:S26)</f>
        <v>0</v>
      </c>
      <c r="Q26" s="3"/>
      <c r="R26" s="3"/>
      <c r="S26" s="20">
        <f>+COUNT('Current prices, current borders'!B26:I26)</f>
        <v>0</v>
      </c>
      <c r="T26" s="20">
        <f>+COUNT('Current prices, current borders'!L26:S26)</f>
        <v>0</v>
      </c>
      <c r="U26" s="20"/>
      <c r="V26" s="20">
        <f>+COUNT('Current prices, 1913 borders'!B26:I26)</f>
        <v>0</v>
      </c>
      <c r="W26" s="20">
        <f>+COUNT('Current prices, 1913 borders'!L26:S26)</f>
        <v>0</v>
      </c>
      <c r="X26" s="20"/>
      <c r="Y26" s="20">
        <f>+COUNT('Constant prices, current border'!B26:I26)</f>
        <v>0</v>
      </c>
      <c r="Z26" s="20">
        <f>+COUNT('Constant prices, current border'!L26:S26)</f>
        <v>0</v>
      </c>
      <c r="AA26" s="20"/>
      <c r="AB26" s="20">
        <f>+COUNT('Constant prices, 1913 borders'!B26:I26)</f>
        <v>0</v>
      </c>
      <c r="AC26" s="20">
        <f>+COUNT('Constant prices, 1913 borders'!L26:S26)</f>
        <v>0</v>
      </c>
    </row>
    <row r="27" spans="1:29" x14ac:dyDescent="0.25">
      <c r="A27">
        <v>1820</v>
      </c>
      <c r="B27" s="21">
        <f>+SUM('Current prices, current borders'!B27:I27)</f>
        <v>0</v>
      </c>
      <c r="C27" s="21"/>
      <c r="D27" s="21">
        <f>+SUM('Current prices, current borders'!L27:S27)</f>
        <v>0</v>
      </c>
      <c r="E27" s="21"/>
      <c r="F27" s="21">
        <f>+SUM('Current prices, 1913 borders'!B27:I27)</f>
        <v>0</v>
      </c>
      <c r="G27" s="21"/>
      <c r="H27" s="21">
        <f>+SUM('Current prices, 1913 borders'!L27:S27)</f>
        <v>0</v>
      </c>
      <c r="I27" s="21"/>
      <c r="J27" s="21">
        <f>+SUM('Constant prices, current border'!B27:I27)</f>
        <v>0</v>
      </c>
      <c r="K27" s="21"/>
      <c r="L27" s="21">
        <f>+SUM('Constant prices, current border'!L27:S27)</f>
        <v>0</v>
      </c>
      <c r="M27" s="21"/>
      <c r="N27" s="21">
        <f>+SUM('Constant prices, 1913 borders'!B27:I27)</f>
        <v>0</v>
      </c>
      <c r="O27" s="21"/>
      <c r="P27" s="21">
        <f>+SUM('Constant prices, 1913 borders'!L27:S27)</f>
        <v>0</v>
      </c>
      <c r="Q27" s="3"/>
      <c r="R27" s="3"/>
      <c r="S27" s="20">
        <f>+COUNT('Current prices, current borders'!B27:I27)</f>
        <v>0</v>
      </c>
      <c r="T27" s="20">
        <f>+COUNT('Current prices, current borders'!L27:S27)</f>
        <v>0</v>
      </c>
      <c r="U27" s="20"/>
      <c r="V27" s="20">
        <f>+COUNT('Current prices, 1913 borders'!B27:I27)</f>
        <v>0</v>
      </c>
      <c r="W27" s="20">
        <f>+COUNT('Current prices, 1913 borders'!L27:S27)</f>
        <v>0</v>
      </c>
      <c r="X27" s="20"/>
      <c r="Y27" s="20">
        <f>+COUNT('Constant prices, current border'!B27:I27)</f>
        <v>0</v>
      </c>
      <c r="Z27" s="20">
        <f>+COUNT('Constant prices, current border'!L27:S27)</f>
        <v>0</v>
      </c>
      <c r="AA27" s="20"/>
      <c r="AB27" s="20">
        <f>+COUNT('Constant prices, 1913 borders'!B27:I27)</f>
        <v>0</v>
      </c>
      <c r="AC27" s="20">
        <f>+COUNT('Constant prices, 1913 borders'!L27:S27)</f>
        <v>0</v>
      </c>
    </row>
    <row r="28" spans="1:29" x14ac:dyDescent="0.25">
      <c r="A28">
        <v>1821</v>
      </c>
      <c r="B28" s="21">
        <f>+SUM('Current prices, current borders'!B28:I28)</f>
        <v>0</v>
      </c>
      <c r="C28" s="21"/>
      <c r="D28" s="21">
        <f>+SUM('Current prices, current borders'!L28:S28)</f>
        <v>0</v>
      </c>
      <c r="E28" s="21"/>
      <c r="F28" s="21">
        <f>+SUM('Current prices, 1913 borders'!B28:I28)</f>
        <v>0</v>
      </c>
      <c r="G28" s="21"/>
      <c r="H28" s="21">
        <f>+SUM('Current prices, 1913 borders'!L28:S28)</f>
        <v>0</v>
      </c>
      <c r="I28" s="21"/>
      <c r="J28" s="21">
        <f>+SUM('Constant prices, current border'!B28:I28)</f>
        <v>0</v>
      </c>
      <c r="K28" s="21"/>
      <c r="L28" s="21">
        <f>+SUM('Constant prices, current border'!L28:S28)</f>
        <v>0</v>
      </c>
      <c r="M28" s="21"/>
      <c r="N28" s="21">
        <f>+SUM('Constant prices, 1913 borders'!B28:I28)</f>
        <v>0</v>
      </c>
      <c r="O28" s="21"/>
      <c r="P28" s="21">
        <f>+SUM('Constant prices, 1913 borders'!L28:S28)</f>
        <v>0</v>
      </c>
      <c r="Q28" s="3"/>
      <c r="R28" s="3"/>
      <c r="S28" s="20">
        <f>+COUNT('Current prices, current borders'!B28:I28)</f>
        <v>0</v>
      </c>
      <c r="T28" s="20">
        <f>+COUNT('Current prices, current borders'!L28:S28)</f>
        <v>0</v>
      </c>
      <c r="U28" s="20"/>
      <c r="V28" s="20">
        <f>+COUNT('Current prices, 1913 borders'!B28:I28)</f>
        <v>0</v>
      </c>
      <c r="W28" s="20">
        <f>+COUNT('Current prices, 1913 borders'!L28:S28)</f>
        <v>0</v>
      </c>
      <c r="X28" s="20"/>
      <c r="Y28" s="20">
        <f>+COUNT('Constant prices, current border'!B28:I28)</f>
        <v>0</v>
      </c>
      <c r="Z28" s="20">
        <f>+COUNT('Constant prices, current border'!L28:S28)</f>
        <v>0</v>
      </c>
      <c r="AA28" s="20"/>
      <c r="AB28" s="20">
        <f>+COUNT('Constant prices, 1913 borders'!B28:I28)</f>
        <v>0</v>
      </c>
      <c r="AC28" s="20">
        <f>+COUNT('Constant prices, 1913 borders'!L28:S28)</f>
        <v>0</v>
      </c>
    </row>
    <row r="29" spans="1:29" x14ac:dyDescent="0.25">
      <c r="A29">
        <v>1822</v>
      </c>
      <c r="B29" s="21">
        <f>+SUM('Current prices, current borders'!B29:I29)</f>
        <v>0</v>
      </c>
      <c r="C29" s="21"/>
      <c r="D29" s="21">
        <f>+SUM('Current prices, current borders'!L29:S29)</f>
        <v>0</v>
      </c>
      <c r="E29" s="21"/>
      <c r="F29" s="21">
        <f>+SUM('Current prices, 1913 borders'!B29:I29)</f>
        <v>0</v>
      </c>
      <c r="G29" s="21"/>
      <c r="H29" s="21">
        <f>+SUM('Current prices, 1913 borders'!L29:S29)</f>
        <v>0</v>
      </c>
      <c r="I29" s="21"/>
      <c r="J29" s="21">
        <f>+SUM('Constant prices, current border'!B29:I29)</f>
        <v>0</v>
      </c>
      <c r="K29" s="21"/>
      <c r="L29" s="21">
        <f>+SUM('Constant prices, current border'!L29:S29)</f>
        <v>0</v>
      </c>
      <c r="M29" s="21"/>
      <c r="N29" s="21">
        <f>+SUM('Constant prices, 1913 borders'!B29:I29)</f>
        <v>0</v>
      </c>
      <c r="O29" s="21"/>
      <c r="P29" s="21">
        <f>+SUM('Constant prices, 1913 borders'!L29:S29)</f>
        <v>0</v>
      </c>
      <c r="Q29" s="3"/>
      <c r="R29" s="3"/>
      <c r="S29" s="20">
        <f>+COUNT('Current prices, current borders'!B29:I29)</f>
        <v>0</v>
      </c>
      <c r="T29" s="20">
        <f>+COUNT('Current prices, current borders'!L29:S29)</f>
        <v>0</v>
      </c>
      <c r="U29" s="20"/>
      <c r="V29" s="20">
        <f>+COUNT('Current prices, 1913 borders'!B29:I29)</f>
        <v>0</v>
      </c>
      <c r="W29" s="20">
        <f>+COUNT('Current prices, 1913 borders'!L29:S29)</f>
        <v>0</v>
      </c>
      <c r="X29" s="20"/>
      <c r="Y29" s="20">
        <f>+COUNT('Constant prices, current border'!B29:I29)</f>
        <v>0</v>
      </c>
      <c r="Z29" s="20">
        <f>+COUNT('Constant prices, current border'!L29:S29)</f>
        <v>0</v>
      </c>
      <c r="AA29" s="20"/>
      <c r="AB29" s="20">
        <f>+COUNT('Constant prices, 1913 borders'!B29:I29)</f>
        <v>0</v>
      </c>
      <c r="AC29" s="20">
        <f>+COUNT('Constant prices, 1913 borders'!L29:S29)</f>
        <v>0</v>
      </c>
    </row>
    <row r="30" spans="1:29" x14ac:dyDescent="0.25">
      <c r="A30">
        <v>1823</v>
      </c>
      <c r="B30" s="21">
        <f>+SUM('Current prices, current borders'!B30:I30)</f>
        <v>0</v>
      </c>
      <c r="C30" s="21"/>
      <c r="D30" s="21">
        <f>+SUM('Current prices, current borders'!L30:S30)</f>
        <v>0</v>
      </c>
      <c r="E30" s="21"/>
      <c r="F30" s="21">
        <f>+SUM('Current prices, 1913 borders'!B30:I30)</f>
        <v>0</v>
      </c>
      <c r="G30" s="21"/>
      <c r="H30" s="21">
        <f>+SUM('Current prices, 1913 borders'!L30:S30)</f>
        <v>0</v>
      </c>
      <c r="I30" s="21"/>
      <c r="J30" s="21">
        <f>+SUM('Constant prices, current border'!B30:I30)</f>
        <v>0</v>
      </c>
      <c r="K30" s="21"/>
      <c r="L30" s="21">
        <f>+SUM('Constant prices, current border'!L30:S30)</f>
        <v>0</v>
      </c>
      <c r="M30" s="21"/>
      <c r="N30" s="21">
        <f>+SUM('Constant prices, 1913 borders'!B30:I30)</f>
        <v>0</v>
      </c>
      <c r="O30" s="21"/>
      <c r="P30" s="21">
        <f>+SUM('Constant prices, 1913 borders'!L30:S30)</f>
        <v>0</v>
      </c>
      <c r="Q30" s="3"/>
      <c r="R30" s="3"/>
      <c r="S30" s="20">
        <f>+COUNT('Current prices, current borders'!B30:I30)</f>
        <v>0</v>
      </c>
      <c r="T30" s="20">
        <f>+COUNT('Current prices, current borders'!L30:S30)</f>
        <v>0</v>
      </c>
      <c r="U30" s="20"/>
      <c r="V30" s="20">
        <f>+COUNT('Current prices, 1913 borders'!B30:I30)</f>
        <v>0</v>
      </c>
      <c r="W30" s="20">
        <f>+COUNT('Current prices, 1913 borders'!L30:S30)</f>
        <v>0</v>
      </c>
      <c r="X30" s="20"/>
      <c r="Y30" s="20">
        <f>+COUNT('Constant prices, current border'!B30:I30)</f>
        <v>0</v>
      </c>
      <c r="Z30" s="20">
        <f>+COUNT('Constant prices, current border'!L30:S30)</f>
        <v>0</v>
      </c>
      <c r="AA30" s="20"/>
      <c r="AB30" s="20">
        <f>+COUNT('Constant prices, 1913 borders'!B30:I30)</f>
        <v>0</v>
      </c>
      <c r="AC30" s="20">
        <f>+COUNT('Constant prices, 1913 borders'!L30:S30)</f>
        <v>0</v>
      </c>
    </row>
    <row r="31" spans="1:29" x14ac:dyDescent="0.25">
      <c r="A31">
        <v>1824</v>
      </c>
      <c r="B31" s="21">
        <f>+SUM('Current prices, current borders'!B31:I31)</f>
        <v>0</v>
      </c>
      <c r="C31" s="21"/>
      <c r="D31" s="21">
        <f>+SUM('Current prices, current borders'!L31:S31)</f>
        <v>0</v>
      </c>
      <c r="E31" s="21"/>
      <c r="F31" s="21">
        <f>+SUM('Current prices, 1913 borders'!B31:I31)</f>
        <v>0</v>
      </c>
      <c r="G31" s="21"/>
      <c r="H31" s="21">
        <f>+SUM('Current prices, 1913 borders'!L31:S31)</f>
        <v>0</v>
      </c>
      <c r="I31" s="21"/>
      <c r="J31" s="21">
        <f>+SUM('Constant prices, current border'!B31:I31)</f>
        <v>0</v>
      </c>
      <c r="K31" s="21"/>
      <c r="L31" s="21">
        <f>+SUM('Constant prices, current border'!L31:S31)</f>
        <v>0</v>
      </c>
      <c r="M31" s="21"/>
      <c r="N31" s="21">
        <f>+SUM('Constant prices, 1913 borders'!B31:I31)</f>
        <v>0</v>
      </c>
      <c r="O31" s="21"/>
      <c r="P31" s="21">
        <f>+SUM('Constant prices, 1913 borders'!L31:S31)</f>
        <v>0</v>
      </c>
      <c r="Q31" s="3"/>
      <c r="R31" s="3"/>
      <c r="S31" s="20">
        <f>+COUNT('Current prices, current borders'!B31:I31)</f>
        <v>0</v>
      </c>
      <c r="T31" s="20">
        <f>+COUNT('Current prices, current borders'!L31:S31)</f>
        <v>0</v>
      </c>
      <c r="U31" s="20"/>
      <c r="V31" s="20">
        <f>+COUNT('Current prices, 1913 borders'!B31:I31)</f>
        <v>0</v>
      </c>
      <c r="W31" s="20">
        <f>+COUNT('Current prices, 1913 borders'!L31:S31)</f>
        <v>0</v>
      </c>
      <c r="X31" s="20"/>
      <c r="Y31" s="20">
        <f>+COUNT('Constant prices, current border'!B31:I31)</f>
        <v>0</v>
      </c>
      <c r="Z31" s="20">
        <f>+COUNT('Constant prices, current border'!L31:S31)</f>
        <v>0</v>
      </c>
      <c r="AA31" s="20"/>
      <c r="AB31" s="20">
        <f>+COUNT('Constant prices, 1913 borders'!B31:I31)</f>
        <v>0</v>
      </c>
      <c r="AC31" s="20">
        <f>+COUNT('Constant prices, 1913 borders'!L31:S31)</f>
        <v>0</v>
      </c>
    </row>
    <row r="32" spans="1:29" x14ac:dyDescent="0.25">
      <c r="A32">
        <v>1825</v>
      </c>
      <c r="B32" s="21">
        <f>+SUM('Current prices, current borders'!B32:I32)</f>
        <v>0</v>
      </c>
      <c r="C32" s="21"/>
      <c r="D32" s="21">
        <f>+SUM('Current prices, current borders'!L32:S32)</f>
        <v>0</v>
      </c>
      <c r="E32" s="21"/>
      <c r="F32" s="21">
        <f>+SUM('Current prices, 1913 borders'!B32:I32)</f>
        <v>0</v>
      </c>
      <c r="G32" s="21"/>
      <c r="H32" s="21">
        <f>+SUM('Current prices, 1913 borders'!L32:S32)</f>
        <v>0</v>
      </c>
      <c r="I32" s="21"/>
      <c r="J32" s="21">
        <f>+SUM('Constant prices, current border'!B32:I32)</f>
        <v>0</v>
      </c>
      <c r="K32" s="21"/>
      <c r="L32" s="21">
        <f>+SUM('Constant prices, current border'!L32:S32)</f>
        <v>0</v>
      </c>
      <c r="M32" s="21"/>
      <c r="N32" s="21">
        <f>+SUM('Constant prices, 1913 borders'!B32:I32)</f>
        <v>0</v>
      </c>
      <c r="O32" s="21"/>
      <c r="P32" s="21">
        <f>+SUM('Constant prices, 1913 borders'!L32:S32)</f>
        <v>0</v>
      </c>
      <c r="Q32" s="3"/>
      <c r="R32" s="3"/>
      <c r="S32" s="20">
        <f>+COUNT('Current prices, current borders'!B32:I32)</f>
        <v>0</v>
      </c>
      <c r="T32" s="20">
        <f>+COUNT('Current prices, current borders'!L32:S32)</f>
        <v>0</v>
      </c>
      <c r="U32" s="20"/>
      <c r="V32" s="20">
        <f>+COUNT('Current prices, 1913 borders'!B32:I32)</f>
        <v>0</v>
      </c>
      <c r="W32" s="20">
        <f>+COUNT('Current prices, 1913 borders'!L32:S32)</f>
        <v>0</v>
      </c>
      <c r="X32" s="20"/>
      <c r="Y32" s="20">
        <f>+COUNT('Constant prices, current border'!B32:I32)</f>
        <v>0</v>
      </c>
      <c r="Z32" s="20">
        <f>+COUNT('Constant prices, current border'!L32:S32)</f>
        <v>0</v>
      </c>
      <c r="AA32" s="20"/>
      <c r="AB32" s="20">
        <f>+COUNT('Constant prices, 1913 borders'!B32:I32)</f>
        <v>0</v>
      </c>
      <c r="AC32" s="20">
        <f>+COUNT('Constant prices, 1913 borders'!L32:S32)</f>
        <v>0</v>
      </c>
    </row>
    <row r="33" spans="1:29" x14ac:dyDescent="0.25">
      <c r="A33">
        <v>1826</v>
      </c>
      <c r="B33" s="21">
        <f>+SUM('Current prices, current borders'!B33:I33)</f>
        <v>1.9286400000000004</v>
      </c>
      <c r="C33" s="21"/>
      <c r="D33" s="21">
        <f>+SUM('Current prices, current borders'!L33:S33)</f>
        <v>0.52466799907648165</v>
      </c>
      <c r="E33" s="21"/>
      <c r="F33" s="21">
        <f>+SUM('Current prices, 1913 borders'!B33:I33)</f>
        <v>1.9286400000000004</v>
      </c>
      <c r="G33" s="21"/>
      <c r="H33" s="21">
        <f>+SUM('Current prices, 1913 borders'!L33:S33)</f>
        <v>0.48731599564605105</v>
      </c>
      <c r="I33" s="21"/>
      <c r="J33" s="21">
        <f>+SUM('Constant prices, current border'!B33:I33)</f>
        <v>1.6915229005470134</v>
      </c>
      <c r="K33" s="21"/>
      <c r="L33" s="21">
        <f>+SUM('Constant prices, current border'!L33:S33)</f>
        <v>1.017352287062133</v>
      </c>
      <c r="M33" s="21"/>
      <c r="N33" s="21">
        <f>+SUM('Constant prices, 1913 borders'!B33:I33)</f>
        <v>1.6915229005470134</v>
      </c>
      <c r="O33" s="21"/>
      <c r="P33" s="21">
        <f>+SUM('Constant prices, 1913 borders'!L33:S33)</f>
        <v>0.99962376221174609</v>
      </c>
      <c r="Q33" s="3"/>
      <c r="R33" s="3"/>
      <c r="S33" s="20">
        <f>+COUNT('Current prices, current borders'!B33:I33)</f>
        <v>1</v>
      </c>
      <c r="T33" s="20">
        <f>+COUNT('Current prices, current borders'!L33:S33)</f>
        <v>3</v>
      </c>
      <c r="U33" s="20"/>
      <c r="V33" s="20">
        <f>+COUNT('Current prices, 1913 borders'!B33:I33)</f>
        <v>1</v>
      </c>
      <c r="W33" s="20">
        <f>+COUNT('Current prices, 1913 borders'!L33:S33)</f>
        <v>3</v>
      </c>
      <c r="X33" s="20"/>
      <c r="Y33" s="20">
        <f>+COUNT('Constant prices, current border'!B33:I33)</f>
        <v>1</v>
      </c>
      <c r="Z33" s="20">
        <f>+COUNT('Constant prices, current border'!L33:S33)</f>
        <v>3</v>
      </c>
      <c r="AA33" s="20"/>
      <c r="AB33" s="20">
        <f>+COUNT('Constant prices, 1913 borders'!B33:I33)</f>
        <v>1</v>
      </c>
      <c r="AC33" s="20">
        <f>+COUNT('Constant prices, 1913 borders'!L33:S33)</f>
        <v>3</v>
      </c>
    </row>
    <row r="34" spans="1:29" x14ac:dyDescent="0.25">
      <c r="A34">
        <v>1827</v>
      </c>
      <c r="B34" s="21">
        <f>+SUM('Current prices, current borders'!B34:I34)</f>
        <v>2.4003999999999999</v>
      </c>
      <c r="C34" s="21"/>
      <c r="D34" s="21">
        <f>+SUM('Current prices, current borders'!L34:S34)</f>
        <v>0.52488227006326027</v>
      </c>
      <c r="E34" s="21"/>
      <c r="F34" s="21">
        <f>+SUM('Current prices, 1913 borders'!B34:I34)</f>
        <v>2.4003999999999999</v>
      </c>
      <c r="G34" s="21"/>
      <c r="H34" s="21">
        <f>+SUM('Current prices, 1913 borders'!L34:S34)</f>
        <v>0.48552757108443634</v>
      </c>
      <c r="I34" s="21"/>
      <c r="J34" s="21">
        <f>+SUM('Constant prices, current border'!B34:I34)</f>
        <v>2.1315112700887062</v>
      </c>
      <c r="K34" s="21"/>
      <c r="L34" s="21">
        <f>+SUM('Constant prices, current border'!L34:S34)</f>
        <v>0.96474907764408468</v>
      </c>
      <c r="M34" s="21"/>
      <c r="N34" s="21">
        <f>+SUM('Constant prices, 1913 borders'!B34:I34)</f>
        <v>2.1315112700887062</v>
      </c>
      <c r="O34" s="21"/>
      <c r="P34" s="21">
        <f>+SUM('Constant prices, 1913 borders'!L34:S34)</f>
        <v>0.94786907961395117</v>
      </c>
      <c r="Q34" s="3"/>
      <c r="R34" s="3"/>
      <c r="S34" s="20">
        <f>+COUNT('Current prices, current borders'!B34:I34)</f>
        <v>1</v>
      </c>
      <c r="T34" s="20">
        <f>+COUNT('Current prices, current borders'!L34:S34)</f>
        <v>3</v>
      </c>
      <c r="U34" s="20"/>
      <c r="V34" s="20">
        <f>+COUNT('Current prices, 1913 borders'!B34:I34)</f>
        <v>1</v>
      </c>
      <c r="W34" s="20">
        <f>+COUNT('Current prices, 1913 borders'!L34:S34)</f>
        <v>3</v>
      </c>
      <c r="X34" s="20"/>
      <c r="Y34" s="20">
        <f>+COUNT('Constant prices, current border'!B34:I34)</f>
        <v>1</v>
      </c>
      <c r="Z34" s="20">
        <f>+COUNT('Constant prices, current border'!L34:S34)</f>
        <v>3</v>
      </c>
      <c r="AA34" s="20"/>
      <c r="AB34" s="20">
        <f>+COUNT('Constant prices, 1913 borders'!B34:I34)</f>
        <v>1</v>
      </c>
      <c r="AC34" s="20">
        <f>+COUNT('Constant prices, 1913 borders'!L34:S34)</f>
        <v>3</v>
      </c>
    </row>
    <row r="35" spans="1:29" x14ac:dyDescent="0.25">
      <c r="A35">
        <v>1828</v>
      </c>
      <c r="B35" s="21">
        <f>+SUM('Current prices, current borders'!B35:I35)</f>
        <v>3.4584899999999994</v>
      </c>
      <c r="C35" s="21"/>
      <c r="D35" s="21">
        <f>+SUM('Current prices, current borders'!L35:S35)</f>
        <v>0.53687304726623364</v>
      </c>
      <c r="E35" s="21"/>
      <c r="F35" s="21">
        <f>+SUM('Current prices, 1913 borders'!B35:I35)</f>
        <v>3.4584899999999994</v>
      </c>
      <c r="G35" s="21"/>
      <c r="H35" s="21">
        <f>+SUM('Current prices, 1913 borders'!L35:S35)</f>
        <v>0.49926838156147213</v>
      </c>
      <c r="I35" s="21"/>
      <c r="J35" s="21">
        <f>+SUM('Constant prices, current border'!B35:I35)</f>
        <v>2.9617841933932003</v>
      </c>
      <c r="K35" s="21"/>
      <c r="L35" s="21">
        <f>+SUM('Constant prices, current border'!L35:S35)</f>
        <v>1.0099641021681112</v>
      </c>
      <c r="M35" s="21"/>
      <c r="N35" s="21">
        <f>+SUM('Constant prices, 1913 borders'!B35:I35)</f>
        <v>2.9617841933932003</v>
      </c>
      <c r="O35" s="21"/>
      <c r="P35" s="21">
        <f>+SUM('Constant prices, 1913 borders'!L35:S35)</f>
        <v>0.99329166483300113</v>
      </c>
      <c r="Q35" s="3"/>
      <c r="R35" s="3"/>
      <c r="S35" s="20">
        <f>+COUNT('Current prices, current borders'!B35:I35)</f>
        <v>1</v>
      </c>
      <c r="T35" s="20">
        <f>+COUNT('Current prices, current borders'!L35:S35)</f>
        <v>3</v>
      </c>
      <c r="U35" s="20"/>
      <c r="V35" s="20">
        <f>+COUNT('Current prices, 1913 borders'!B35:I35)</f>
        <v>1</v>
      </c>
      <c r="W35" s="20">
        <f>+COUNT('Current prices, 1913 borders'!L35:S35)</f>
        <v>3</v>
      </c>
      <c r="X35" s="20"/>
      <c r="Y35" s="20">
        <f>+COUNT('Constant prices, current border'!B35:I35)</f>
        <v>1</v>
      </c>
      <c r="Z35" s="20">
        <f>+COUNT('Constant prices, current border'!L35:S35)</f>
        <v>3</v>
      </c>
      <c r="AA35" s="20"/>
      <c r="AB35" s="20">
        <f>+COUNT('Constant prices, 1913 borders'!B35:I35)</f>
        <v>1</v>
      </c>
      <c r="AC35" s="20">
        <f>+COUNT('Constant prices, 1913 borders'!L35:S35)</f>
        <v>3</v>
      </c>
    </row>
    <row r="36" spans="1:29" x14ac:dyDescent="0.25">
      <c r="A36">
        <v>1829</v>
      </c>
      <c r="B36" s="21">
        <f>+SUM('Current prices, current borders'!B36:I36)</f>
        <v>3.9486400000000001</v>
      </c>
      <c r="C36" s="21"/>
      <c r="D36" s="21">
        <f>+SUM('Current prices, current borders'!L36:S36)</f>
        <v>1.0725529736736514</v>
      </c>
      <c r="E36" s="21"/>
      <c r="F36" s="21">
        <f>+SUM('Current prices, 1913 borders'!B36:I36)</f>
        <v>3.9486400000000001</v>
      </c>
      <c r="G36" s="21"/>
      <c r="H36" s="21">
        <f>+SUM('Current prices, 1913 borders'!L36:S36)</f>
        <v>0.99742148344730908</v>
      </c>
      <c r="I36" s="21"/>
      <c r="J36" s="21">
        <f>+SUM('Constant prices, current border'!B36:I36)</f>
        <v>3.0247261517422928</v>
      </c>
      <c r="K36" s="21"/>
      <c r="L36" s="21">
        <f>+SUM('Constant prices, current border'!L36:S36)</f>
        <v>2.0302461714043889</v>
      </c>
      <c r="M36" s="21"/>
      <c r="N36" s="21">
        <f>+SUM('Constant prices, 1913 borders'!B36:I36)</f>
        <v>3.0247261517422928</v>
      </c>
      <c r="O36" s="21"/>
      <c r="P36" s="21">
        <f>+SUM('Constant prices, 1913 borders'!L36:S36)</f>
        <v>1.9936155406195397</v>
      </c>
      <c r="Q36" s="3"/>
      <c r="R36" s="3"/>
      <c r="S36" s="20">
        <f>+COUNT('Current prices, current borders'!B36:I36)</f>
        <v>1</v>
      </c>
      <c r="T36" s="20">
        <f>+COUNT('Current prices, current borders'!L36:S36)</f>
        <v>3</v>
      </c>
      <c r="U36" s="20"/>
      <c r="V36" s="20">
        <f>+COUNT('Current prices, 1913 borders'!B36:I36)</f>
        <v>1</v>
      </c>
      <c r="W36" s="20">
        <f>+COUNT('Current prices, 1913 borders'!L36:S36)</f>
        <v>3</v>
      </c>
      <c r="X36" s="20"/>
      <c r="Y36" s="20">
        <f>+COUNT('Constant prices, current border'!B36:I36)</f>
        <v>1</v>
      </c>
      <c r="Z36" s="20">
        <f>+COUNT('Constant prices, current border'!L36:S36)</f>
        <v>3</v>
      </c>
      <c r="AA36" s="20"/>
      <c r="AB36" s="20">
        <f>+COUNT('Constant prices, 1913 borders'!B36:I36)</f>
        <v>1</v>
      </c>
      <c r="AC36" s="20">
        <f>+COUNT('Constant prices, 1913 borders'!L36:S36)</f>
        <v>3</v>
      </c>
    </row>
    <row r="37" spans="1:29" x14ac:dyDescent="0.25">
      <c r="A37">
        <v>1830</v>
      </c>
      <c r="B37" s="21">
        <f>+SUM('Current prices, current borders'!B37:I37)</f>
        <v>3.3605599999999995</v>
      </c>
      <c r="C37" s="21"/>
      <c r="D37" s="21">
        <f>+SUM('Current prices, current borders'!L37:S37)</f>
        <v>1.0453150048675548</v>
      </c>
      <c r="E37" s="21"/>
      <c r="F37" s="21">
        <f>+SUM('Current prices, 1913 borders'!B37:I37)</f>
        <v>3.3605599999999995</v>
      </c>
      <c r="G37" s="21"/>
      <c r="H37" s="21">
        <f>+SUM('Current prices, 1913 borders'!L37:S37)</f>
        <v>0.97022733005735229</v>
      </c>
      <c r="I37" s="21"/>
      <c r="J37" s="21">
        <f>+SUM('Constant prices, current border'!B37:I37)</f>
        <v>2.7482811611922209</v>
      </c>
      <c r="K37" s="21"/>
      <c r="L37" s="21">
        <f>+SUM('Constant prices, current border'!L37:S37)</f>
        <v>2.0337438570676318</v>
      </c>
      <c r="M37" s="21"/>
      <c r="N37" s="21">
        <f>+SUM('Constant prices, 1913 borders'!B37:I37)</f>
        <v>2.7482811611922209</v>
      </c>
      <c r="O37" s="21"/>
      <c r="P37" s="21">
        <f>+SUM('Constant prices, 1913 borders'!L37:S37)</f>
        <v>1.9950817737049122</v>
      </c>
      <c r="Q37" s="3"/>
      <c r="R37" s="3"/>
      <c r="S37" s="20">
        <f>+COUNT('Current prices, current borders'!B37:I37)</f>
        <v>1</v>
      </c>
      <c r="T37" s="20">
        <f>+COUNT('Current prices, current borders'!L37:S37)</f>
        <v>3</v>
      </c>
      <c r="U37" s="20"/>
      <c r="V37" s="20">
        <f>+COUNT('Current prices, 1913 borders'!B37:I37)</f>
        <v>1</v>
      </c>
      <c r="W37" s="20">
        <f>+COUNT('Current prices, 1913 borders'!L37:S37)</f>
        <v>3</v>
      </c>
      <c r="X37" s="20"/>
      <c r="Y37" s="20">
        <f>+COUNT('Constant prices, current border'!B37:I37)</f>
        <v>1</v>
      </c>
      <c r="Z37" s="20">
        <f>+COUNT('Constant prices, current border'!L37:S37)</f>
        <v>3</v>
      </c>
      <c r="AA37" s="20"/>
      <c r="AB37" s="20">
        <f>+COUNT('Constant prices, 1913 borders'!B37:I37)</f>
        <v>1</v>
      </c>
      <c r="AC37" s="20">
        <f>+COUNT('Constant prices, 1913 borders'!L37:S37)</f>
        <v>3</v>
      </c>
    </row>
    <row r="38" spans="1:29" x14ac:dyDescent="0.25">
      <c r="A38">
        <v>1831</v>
      </c>
      <c r="B38" s="21">
        <f>+SUM('Current prices, current borders'!B38:I38)</f>
        <v>3.9603999999999999</v>
      </c>
      <c r="C38" s="21"/>
      <c r="D38" s="21">
        <f>+SUM('Current prices, current borders'!L38:S38)</f>
        <v>2.157894644209235</v>
      </c>
      <c r="E38" s="21"/>
      <c r="F38" s="21">
        <f>+SUM('Current prices, 1913 borders'!B38:I38)</f>
        <v>3.9603999999999999</v>
      </c>
      <c r="G38" s="21"/>
      <c r="H38" s="21">
        <f>+SUM('Current prices, 1913 borders'!L38:S38)</f>
        <v>2.0015466459434896</v>
      </c>
      <c r="I38" s="21"/>
      <c r="J38" s="21">
        <f>+SUM('Constant prices, current border'!B38:I38)</f>
        <v>2.8904511570075799</v>
      </c>
      <c r="K38" s="21"/>
      <c r="L38" s="21">
        <f>+SUM('Constant prices, current border'!L38:S38)</f>
        <v>3.9228422663376699</v>
      </c>
      <c r="M38" s="21"/>
      <c r="N38" s="21">
        <f>+SUM('Constant prices, 1913 borders'!B38:I38)</f>
        <v>2.8904511570075799</v>
      </c>
      <c r="O38" s="21"/>
      <c r="P38" s="21">
        <f>+SUM('Constant prices, 1913 borders'!L38:S38)</f>
        <v>3.8330377187180846</v>
      </c>
      <c r="Q38" s="3"/>
      <c r="R38" s="3"/>
      <c r="S38" s="20">
        <f>+COUNT('Current prices, current borders'!B38:I38)</f>
        <v>1</v>
      </c>
      <c r="T38" s="20">
        <f>+COUNT('Current prices, current borders'!L38:S38)</f>
        <v>3</v>
      </c>
      <c r="U38" s="20"/>
      <c r="V38" s="20">
        <f>+COUNT('Current prices, 1913 borders'!B38:I38)</f>
        <v>1</v>
      </c>
      <c r="W38" s="20">
        <f>+COUNT('Current prices, 1913 borders'!L38:S38)</f>
        <v>3</v>
      </c>
      <c r="X38" s="20"/>
      <c r="Y38" s="20">
        <f>+COUNT('Constant prices, current border'!B38:I38)</f>
        <v>1</v>
      </c>
      <c r="Z38" s="20">
        <f>+COUNT('Constant prices, current border'!L38:S38)</f>
        <v>3</v>
      </c>
      <c r="AA38" s="20"/>
      <c r="AB38" s="20">
        <f>+COUNT('Constant prices, 1913 borders'!B38:I38)</f>
        <v>1</v>
      </c>
      <c r="AC38" s="20">
        <f>+COUNT('Constant prices, 1913 borders'!L38:S38)</f>
        <v>3</v>
      </c>
    </row>
    <row r="39" spans="1:29" x14ac:dyDescent="0.25">
      <c r="A39">
        <v>1832</v>
      </c>
      <c r="B39" s="21">
        <f>+SUM('Current prices, current borders'!B39:I39)</f>
        <v>4.9020000000000001</v>
      </c>
      <c r="C39" s="21"/>
      <c r="D39" s="21">
        <f>+SUM('Current prices, current borders'!L39:S39)</f>
        <v>2.7137545059383048</v>
      </c>
      <c r="E39" s="21"/>
      <c r="F39" s="21">
        <f>+SUM('Current prices, 1913 borders'!B39:I39)</f>
        <v>4.9020000000000001</v>
      </c>
      <c r="G39" s="21"/>
      <c r="H39" s="21">
        <f>+SUM('Current prices, 1913 borders'!L39:S39)</f>
        <v>2.4825527911467136</v>
      </c>
      <c r="I39" s="21"/>
      <c r="J39" s="21">
        <f>+SUM('Constant prices, current border'!B39:I39)</f>
        <v>3.894607394144229</v>
      </c>
      <c r="K39" s="21"/>
      <c r="L39" s="21">
        <f>+SUM('Constant prices, current border'!L39:S39)</f>
        <v>4.1863181293639524</v>
      </c>
      <c r="M39" s="21"/>
      <c r="N39" s="21">
        <f>+SUM('Constant prices, 1913 borders'!B39:I39)</f>
        <v>3.894607394144229</v>
      </c>
      <c r="O39" s="21"/>
      <c r="P39" s="21">
        <f>+SUM('Constant prices, 1913 borders'!L39:S39)</f>
        <v>4.0589313211851019</v>
      </c>
      <c r="Q39" s="3"/>
      <c r="R39" s="3"/>
      <c r="S39" s="20">
        <f>+COUNT('Current prices, current borders'!B39:I39)</f>
        <v>1</v>
      </c>
      <c r="T39" s="20">
        <f>+COUNT('Current prices, current borders'!L39:S39)</f>
        <v>3</v>
      </c>
      <c r="U39" s="20"/>
      <c r="V39" s="20">
        <f>+COUNT('Current prices, 1913 borders'!B39:I39)</f>
        <v>1</v>
      </c>
      <c r="W39" s="20">
        <f>+COUNT('Current prices, 1913 borders'!L39:S39)</f>
        <v>3</v>
      </c>
      <c r="X39" s="20"/>
      <c r="Y39" s="20">
        <f>+COUNT('Constant prices, current border'!B39:I39)</f>
        <v>1</v>
      </c>
      <c r="Z39" s="20">
        <f>+COUNT('Constant prices, current border'!L39:S39)</f>
        <v>3</v>
      </c>
      <c r="AA39" s="20"/>
      <c r="AB39" s="20">
        <f>+COUNT('Constant prices, 1913 borders'!B39:I39)</f>
        <v>1</v>
      </c>
      <c r="AC39" s="20">
        <f>+COUNT('Constant prices, 1913 borders'!L39:S39)</f>
        <v>3</v>
      </c>
    </row>
    <row r="40" spans="1:29" x14ac:dyDescent="0.25">
      <c r="A40">
        <v>1833</v>
      </c>
      <c r="B40" s="21">
        <f>+SUM('Current prices, current borders'!B40:I40)</f>
        <v>4.7506000000000004</v>
      </c>
      <c r="C40" s="21"/>
      <c r="D40" s="21">
        <f>+SUM('Current prices, current borders'!L40:S40)</f>
        <v>2.6392783112416747</v>
      </c>
      <c r="E40" s="21"/>
      <c r="F40" s="21">
        <f>+SUM('Current prices, 1913 borders'!B40:I40)</f>
        <v>4.7506000000000004</v>
      </c>
      <c r="G40" s="21"/>
      <c r="H40" s="21">
        <f>+SUM('Current prices, 1913 borders'!L40:S40)</f>
        <v>2.4066395396029376</v>
      </c>
      <c r="I40" s="21"/>
      <c r="J40" s="21">
        <f>+SUM('Constant prices, current border'!B40:I40)</f>
        <v>4.4800993630354213</v>
      </c>
      <c r="K40" s="21"/>
      <c r="L40" s="21">
        <f>+SUM('Constant prices, current border'!L40:S40)</f>
        <v>4.1504230337934063</v>
      </c>
      <c r="M40" s="21"/>
      <c r="N40" s="21">
        <f>+SUM('Constant prices, 1913 borders'!B40:I40)</f>
        <v>4.4800993630354213</v>
      </c>
      <c r="O40" s="21"/>
      <c r="P40" s="21">
        <f>+SUM('Constant prices, 1913 borders'!L40:S40)</f>
        <v>4.0263239842584246</v>
      </c>
      <c r="Q40" s="3"/>
      <c r="R40" s="3"/>
      <c r="S40" s="20">
        <f>+COUNT('Current prices, current borders'!B40:I40)</f>
        <v>1</v>
      </c>
      <c r="T40" s="20">
        <f>+COUNT('Current prices, current borders'!L40:S40)</f>
        <v>3</v>
      </c>
      <c r="U40" s="20"/>
      <c r="V40" s="20">
        <f>+COUNT('Current prices, 1913 borders'!B40:I40)</f>
        <v>1</v>
      </c>
      <c r="W40" s="20">
        <f>+COUNT('Current prices, 1913 borders'!L40:S40)</f>
        <v>3</v>
      </c>
      <c r="X40" s="20"/>
      <c r="Y40" s="20">
        <f>+COUNT('Constant prices, current border'!B40:I40)</f>
        <v>1</v>
      </c>
      <c r="Z40" s="20">
        <f>+COUNT('Constant prices, current border'!L40:S40)</f>
        <v>3</v>
      </c>
      <c r="AA40" s="20"/>
      <c r="AB40" s="20">
        <f>+COUNT('Constant prices, 1913 borders'!B40:I40)</f>
        <v>1</v>
      </c>
      <c r="AC40" s="20">
        <f>+COUNT('Constant prices, 1913 borders'!L40:S40)</f>
        <v>3</v>
      </c>
    </row>
    <row r="41" spans="1:29" x14ac:dyDescent="0.25">
      <c r="A41">
        <v>1834</v>
      </c>
      <c r="B41" s="21">
        <f>+SUM('Current prices, current borders'!B41:I41)</f>
        <v>6.6985799999999998</v>
      </c>
      <c r="C41" s="21"/>
      <c r="D41" s="21">
        <f>+SUM('Current prices, current borders'!L41:S41)</f>
        <v>4.2109875971749098</v>
      </c>
      <c r="E41" s="21"/>
      <c r="F41" s="21">
        <f>+SUM('Current prices, 1913 borders'!B41:I41)</f>
        <v>6.6985799999999998</v>
      </c>
      <c r="G41" s="21"/>
      <c r="H41" s="21">
        <f>+SUM('Current prices, 1913 borders'!L41:S41)</f>
        <v>3.8721462695753948</v>
      </c>
      <c r="I41" s="21"/>
      <c r="J41" s="21">
        <f>+SUM('Constant prices, current border'!B41:I41)</f>
        <v>6.8694424839319739</v>
      </c>
      <c r="K41" s="21"/>
      <c r="L41" s="21">
        <f>+SUM('Constant prices, current border'!L41:S41)</f>
        <v>7.2388012510515622</v>
      </c>
      <c r="M41" s="21"/>
      <c r="N41" s="21">
        <f>+SUM('Constant prices, 1913 borders'!B41:I41)</f>
        <v>6.8694424839319739</v>
      </c>
      <c r="O41" s="21"/>
      <c r="P41" s="21">
        <f>+SUM('Constant prices, 1913 borders'!L41:S41)</f>
        <v>7.0524811465002175</v>
      </c>
      <c r="Q41" s="3"/>
      <c r="R41" s="3"/>
      <c r="S41" s="20">
        <f>+COUNT('Current prices, current borders'!B41:I41)</f>
        <v>1</v>
      </c>
      <c r="T41" s="20">
        <f>+COUNT('Current prices, current borders'!L41:S41)</f>
        <v>3</v>
      </c>
      <c r="U41" s="20"/>
      <c r="V41" s="20">
        <f>+COUNT('Current prices, 1913 borders'!B41:I41)</f>
        <v>1</v>
      </c>
      <c r="W41" s="20">
        <f>+COUNT('Current prices, 1913 borders'!L41:S41)</f>
        <v>3</v>
      </c>
      <c r="X41" s="20"/>
      <c r="Y41" s="20">
        <f>+COUNT('Constant prices, current border'!B41:I41)</f>
        <v>1</v>
      </c>
      <c r="Z41" s="20">
        <f>+COUNT('Constant prices, current border'!L41:S41)</f>
        <v>3</v>
      </c>
      <c r="AA41" s="20"/>
      <c r="AB41" s="20">
        <f>+COUNT('Constant prices, 1913 borders'!B41:I41)</f>
        <v>1</v>
      </c>
      <c r="AC41" s="20">
        <f>+COUNT('Constant prices, 1913 borders'!L41:S41)</f>
        <v>3</v>
      </c>
    </row>
    <row r="42" spans="1:29" x14ac:dyDescent="0.25">
      <c r="A42">
        <v>1835</v>
      </c>
      <c r="B42" s="21">
        <f>+SUM('Current prices, current borders'!B42:I42)</f>
        <v>8.0443200000000008</v>
      </c>
      <c r="C42" s="21"/>
      <c r="D42" s="21">
        <f>+SUM('Current prices, current borders'!L42:S42)</f>
        <v>4.9157126752107834</v>
      </c>
      <c r="E42" s="21"/>
      <c r="F42" s="21">
        <f>+SUM('Current prices, 1913 borders'!B42:I42)</f>
        <v>8.0443200000000008</v>
      </c>
      <c r="G42" s="21"/>
      <c r="H42" s="21">
        <f>+SUM('Current prices, 1913 borders'!L42:S42)</f>
        <v>4.5768713476112683</v>
      </c>
      <c r="I42" s="21"/>
      <c r="J42" s="21">
        <f>+SUM('Constant prices, current border'!B42:I42)</f>
        <v>7.7501445689701161</v>
      </c>
      <c r="K42" s="21"/>
      <c r="L42" s="21">
        <f>+SUM('Constant prices, current border'!L42:S42)</f>
        <v>8.0065369013835745</v>
      </c>
      <c r="M42" s="21"/>
      <c r="N42" s="21">
        <f>+SUM('Constant prices, 1913 borders'!B42:I42)</f>
        <v>7.7501445689701161</v>
      </c>
      <c r="O42" s="21"/>
      <c r="P42" s="21">
        <f>+SUM('Constant prices, 1913 borders'!L42:S42)</f>
        <v>7.836411670333967</v>
      </c>
      <c r="Q42" s="3"/>
      <c r="R42" s="3"/>
      <c r="S42" s="20">
        <f>+COUNT('Current prices, current borders'!B42:I42)</f>
        <v>1</v>
      </c>
      <c r="T42" s="20">
        <f>+COUNT('Current prices, current borders'!L42:S42)</f>
        <v>3</v>
      </c>
      <c r="U42" s="20"/>
      <c r="V42" s="20">
        <f>+COUNT('Current prices, 1913 borders'!B42:I42)</f>
        <v>1</v>
      </c>
      <c r="W42" s="20">
        <f>+COUNT('Current prices, 1913 borders'!L42:S42)</f>
        <v>3</v>
      </c>
      <c r="X42" s="20"/>
      <c r="Y42" s="20">
        <f>+COUNT('Constant prices, current border'!B42:I42)</f>
        <v>1</v>
      </c>
      <c r="Z42" s="20">
        <f>+COUNT('Constant prices, current border'!L42:S42)</f>
        <v>3</v>
      </c>
      <c r="AA42" s="20"/>
      <c r="AB42" s="20">
        <f>+COUNT('Constant prices, 1913 borders'!B42:I42)</f>
        <v>1</v>
      </c>
      <c r="AC42" s="20">
        <f>+COUNT('Constant prices, 1913 borders'!L42:S42)</f>
        <v>3</v>
      </c>
    </row>
    <row r="43" spans="1:29" x14ac:dyDescent="0.25">
      <c r="A43">
        <v>1836</v>
      </c>
      <c r="B43" s="21">
        <f>+SUM('Current prices, current borders'!B43:I43)</f>
        <v>8.4576700000000002</v>
      </c>
      <c r="C43" s="21"/>
      <c r="D43" s="21">
        <f>+SUM('Current prices, current borders'!L43:S43)</f>
        <v>5.3404875588586886</v>
      </c>
      <c r="E43" s="21"/>
      <c r="F43" s="21">
        <f>+SUM('Current prices, 1913 borders'!B43:I43)</f>
        <v>8.4576700000000002</v>
      </c>
      <c r="G43" s="21"/>
      <c r="H43" s="21">
        <f>+SUM('Current prices, 1913 borders'!L43:S43)</f>
        <v>5.0330487384029343</v>
      </c>
      <c r="I43" s="21"/>
      <c r="J43" s="21">
        <f>+SUM('Constant prices, current border'!B43:I43)</f>
        <v>7.6308144797787039</v>
      </c>
      <c r="K43" s="21"/>
      <c r="L43" s="21">
        <f>+SUM('Constant prices, current border'!L43:S43)</f>
        <v>8.605997304735526</v>
      </c>
      <c r="M43" s="21"/>
      <c r="N43" s="21">
        <f>+SUM('Constant prices, 1913 borders'!B43:I43)</f>
        <v>7.6308144797787039</v>
      </c>
      <c r="O43" s="21"/>
      <c r="P43" s="21">
        <f>+SUM('Constant prices, 1913 borders'!L43:S43)</f>
        <v>8.4630066567028592</v>
      </c>
      <c r="Q43" s="3"/>
      <c r="R43" s="3"/>
      <c r="S43" s="20">
        <f>+COUNT('Current prices, current borders'!B43:I43)</f>
        <v>1</v>
      </c>
      <c r="T43" s="20">
        <f>+COUNT('Current prices, current borders'!L43:S43)</f>
        <v>3</v>
      </c>
      <c r="U43" s="20"/>
      <c r="V43" s="20">
        <f>+COUNT('Current prices, 1913 borders'!B43:I43)</f>
        <v>1</v>
      </c>
      <c r="W43" s="20">
        <f>+COUNT('Current prices, 1913 borders'!L43:S43)</f>
        <v>3</v>
      </c>
      <c r="X43" s="20"/>
      <c r="Y43" s="20">
        <f>+COUNT('Constant prices, current border'!B43:I43)</f>
        <v>1</v>
      </c>
      <c r="Z43" s="20">
        <f>+COUNT('Constant prices, current border'!L43:S43)</f>
        <v>3</v>
      </c>
      <c r="AA43" s="20"/>
      <c r="AB43" s="20">
        <f>+COUNT('Constant prices, 1913 borders'!B43:I43)</f>
        <v>1</v>
      </c>
      <c r="AC43" s="20">
        <f>+COUNT('Constant prices, 1913 borders'!L43:S43)</f>
        <v>3</v>
      </c>
    </row>
    <row r="44" spans="1:29" x14ac:dyDescent="0.25">
      <c r="A44">
        <v>1837</v>
      </c>
      <c r="B44" s="21">
        <f>+SUM('Current prices, current borders'!B44:I44)</f>
        <v>8.0299499999999995</v>
      </c>
      <c r="C44" s="21"/>
      <c r="D44" s="21">
        <f>+SUM('Current prices, current borders'!L44:S44)</f>
        <v>5.7004047006055352</v>
      </c>
      <c r="E44" s="21"/>
      <c r="F44" s="21">
        <f>+SUM('Current prices, 1913 borders'!B44:I44)</f>
        <v>8.0299499999999995</v>
      </c>
      <c r="G44" s="21"/>
      <c r="H44" s="21">
        <f>+SUM('Current prices, 1913 borders'!L44:S44)</f>
        <v>5.4214581240682733</v>
      </c>
      <c r="I44" s="21"/>
      <c r="J44" s="21">
        <f>+SUM('Constant prices, current border'!B44:I44)</f>
        <v>6.2073302124625194</v>
      </c>
      <c r="K44" s="21"/>
      <c r="L44" s="21">
        <f>+SUM('Constant prices, current border'!L44:S44)</f>
        <v>7.6349533885935656</v>
      </c>
      <c r="M44" s="21"/>
      <c r="N44" s="21">
        <f>+SUM('Constant prices, 1913 borders'!B44:I44)</f>
        <v>6.2073302124625194</v>
      </c>
      <c r="O44" s="21"/>
      <c r="P44" s="21">
        <f>+SUM('Constant prices, 1913 borders'!L44:S44)</f>
        <v>7.4959008199188979</v>
      </c>
      <c r="Q44" s="3"/>
      <c r="R44" s="3"/>
      <c r="S44" s="20">
        <f>+COUNT('Current prices, current borders'!B44:I44)</f>
        <v>1</v>
      </c>
      <c r="T44" s="20">
        <f>+COUNT('Current prices, current borders'!L44:S44)</f>
        <v>3</v>
      </c>
      <c r="U44" s="20"/>
      <c r="V44" s="20">
        <f>+COUNT('Current prices, 1913 borders'!B44:I44)</f>
        <v>1</v>
      </c>
      <c r="W44" s="20">
        <f>+COUNT('Current prices, 1913 borders'!L44:S44)</f>
        <v>3</v>
      </c>
      <c r="X44" s="20"/>
      <c r="Y44" s="20">
        <f>+COUNT('Constant prices, current border'!B44:I44)</f>
        <v>1</v>
      </c>
      <c r="Z44" s="20">
        <f>+COUNT('Constant prices, current border'!L44:S44)</f>
        <v>3</v>
      </c>
      <c r="AA44" s="20"/>
      <c r="AB44" s="20">
        <f>+COUNT('Constant prices, 1913 borders'!B44:I44)</f>
        <v>1</v>
      </c>
      <c r="AC44" s="20">
        <f>+COUNT('Constant prices, 1913 borders'!L44:S44)</f>
        <v>3</v>
      </c>
    </row>
    <row r="45" spans="1:29" x14ac:dyDescent="0.25">
      <c r="A45">
        <v>1838</v>
      </c>
      <c r="B45" s="21">
        <f>+SUM('Current prices, current borders'!B45:I45)</f>
        <v>10.69782</v>
      </c>
      <c r="C45" s="21"/>
      <c r="D45" s="21">
        <f>+SUM('Current prices, current borders'!L45:S45)</f>
        <v>5.9274684293203403</v>
      </c>
      <c r="E45" s="21"/>
      <c r="F45" s="21">
        <f>+SUM('Current prices, 1913 borders'!B45:I45)</f>
        <v>10.69782</v>
      </c>
      <c r="G45" s="21"/>
      <c r="H45" s="21">
        <f>+SUM('Current prices, 1913 borders'!L45:S45)</f>
        <v>5.6743735454455271</v>
      </c>
      <c r="I45" s="21"/>
      <c r="J45" s="21">
        <f>+SUM('Constant prices, current border'!B45:I45)</f>
        <v>8.0222688958249933</v>
      </c>
      <c r="K45" s="21"/>
      <c r="L45" s="21">
        <f>+SUM('Constant prices, current border'!L45:S45)</f>
        <v>8.4370802934136648</v>
      </c>
      <c r="M45" s="21"/>
      <c r="N45" s="21">
        <f>+SUM('Constant prices, 1913 borders'!B45:I45)</f>
        <v>8.0222688958249933</v>
      </c>
      <c r="O45" s="21"/>
      <c r="P45" s="21">
        <f>+SUM('Constant prices, 1913 borders'!L45:S45)</f>
        <v>8.2996190344656675</v>
      </c>
      <c r="Q45" s="3"/>
      <c r="R45" s="3"/>
      <c r="S45" s="20">
        <f>+COUNT('Current prices, current borders'!B45:I45)</f>
        <v>1</v>
      </c>
      <c r="T45" s="20">
        <f>+COUNT('Current prices, current borders'!L45:S45)</f>
        <v>3</v>
      </c>
      <c r="U45" s="20"/>
      <c r="V45" s="20">
        <f>+COUNT('Current prices, 1913 borders'!B45:I45)</f>
        <v>1</v>
      </c>
      <c r="W45" s="20">
        <f>+COUNT('Current prices, 1913 borders'!L45:S45)</f>
        <v>3</v>
      </c>
      <c r="X45" s="20"/>
      <c r="Y45" s="20">
        <f>+COUNT('Constant prices, current border'!B45:I45)</f>
        <v>1</v>
      </c>
      <c r="Z45" s="20">
        <f>+COUNT('Constant prices, current border'!L45:S45)</f>
        <v>3</v>
      </c>
      <c r="AA45" s="20"/>
      <c r="AB45" s="20">
        <f>+COUNT('Constant prices, 1913 borders'!B45:I45)</f>
        <v>1</v>
      </c>
      <c r="AC45" s="20">
        <f>+COUNT('Constant prices, 1913 borders'!L45:S45)</f>
        <v>3</v>
      </c>
    </row>
    <row r="46" spans="1:29" x14ac:dyDescent="0.25">
      <c r="A46">
        <v>1839</v>
      </c>
      <c r="B46" s="21">
        <f>+SUM('Current prices, current borders'!B46:I46)</f>
        <v>12.609220000000001</v>
      </c>
      <c r="C46" s="21"/>
      <c r="D46" s="21">
        <f>+SUM('Current prices, current borders'!L46:S46)</f>
        <v>5.1447453785383788</v>
      </c>
      <c r="E46" s="21"/>
      <c r="F46" s="21">
        <f>+SUM('Current prices, 1913 borders'!B46:I46)</f>
        <v>12.609220000000001</v>
      </c>
      <c r="G46" s="21"/>
      <c r="H46" s="21">
        <f>+SUM('Current prices, 1913 borders'!L46:S46)</f>
        <v>4.915106352174317</v>
      </c>
      <c r="I46" s="21"/>
      <c r="J46" s="21">
        <f>+SUM('Constant prices, current border'!B46:I46)</f>
        <v>9.3114343951250582</v>
      </c>
      <c r="K46" s="21"/>
      <c r="L46" s="21">
        <f>+SUM('Constant prices, current border'!L46:S46)</f>
        <v>7.6746045296514067</v>
      </c>
      <c r="M46" s="21"/>
      <c r="N46" s="21">
        <f>+SUM('Constant prices, 1913 borders'!B46:I46)</f>
        <v>9.3114343951250582</v>
      </c>
      <c r="O46" s="21"/>
      <c r="P46" s="21">
        <f>+SUM('Constant prices, 1913 borders'!L46:S46)</f>
        <v>7.5663207693493719</v>
      </c>
      <c r="Q46" s="3"/>
      <c r="R46" s="3"/>
      <c r="S46" s="20">
        <f>+COUNT('Current prices, current borders'!B46:I46)</f>
        <v>1</v>
      </c>
      <c r="T46" s="20">
        <f>+COUNT('Current prices, current borders'!L46:S46)</f>
        <v>3</v>
      </c>
      <c r="U46" s="20"/>
      <c r="V46" s="20">
        <f>+COUNT('Current prices, 1913 borders'!B46:I46)</f>
        <v>1</v>
      </c>
      <c r="W46" s="20">
        <f>+COUNT('Current prices, 1913 borders'!L46:S46)</f>
        <v>3</v>
      </c>
      <c r="X46" s="20"/>
      <c r="Y46" s="20">
        <f>+COUNT('Constant prices, current border'!B46:I46)</f>
        <v>1</v>
      </c>
      <c r="Z46" s="20">
        <f>+COUNT('Constant prices, current border'!L46:S46)</f>
        <v>3</v>
      </c>
      <c r="AA46" s="20"/>
      <c r="AB46" s="20">
        <f>+COUNT('Constant prices, 1913 borders'!B46:I46)</f>
        <v>1</v>
      </c>
      <c r="AC46" s="20">
        <f>+COUNT('Constant prices, 1913 borders'!L46:S46)</f>
        <v>3</v>
      </c>
    </row>
    <row r="47" spans="1:29" x14ac:dyDescent="0.25">
      <c r="A47">
        <v>1840</v>
      </c>
      <c r="B47" s="21">
        <f>+SUM('Current prices, current borders'!B47:I47)</f>
        <v>17.315999999999999</v>
      </c>
      <c r="C47" s="21"/>
      <c r="D47" s="21">
        <f>+SUM('Current prices, current borders'!L47:S47)</f>
        <v>7.5238712303783704</v>
      </c>
      <c r="E47" s="21"/>
      <c r="F47" s="21">
        <f>+SUM('Current prices, 1913 borders'!B47:I47)</f>
        <v>17.315999999999999</v>
      </c>
      <c r="G47" s="21"/>
      <c r="H47" s="21">
        <f>+SUM('Current prices, 1913 borders'!L47:S47)</f>
        <v>7.3155142631331618</v>
      </c>
      <c r="I47" s="21"/>
      <c r="J47" s="21">
        <f>+SUM('Constant prices, current border'!B47:I47)</f>
        <v>13.002436451056804</v>
      </c>
      <c r="K47" s="21"/>
      <c r="L47" s="21">
        <f>+SUM('Constant prices, current border'!L47:S47)</f>
        <v>10.959589539709638</v>
      </c>
      <c r="M47" s="21"/>
      <c r="N47" s="21">
        <f>+SUM('Constant prices, 1913 borders'!B47:I47)</f>
        <v>13.002436451056804</v>
      </c>
      <c r="O47" s="21"/>
      <c r="P47" s="21">
        <f>+SUM('Constant prices, 1913 borders'!L47:S47)</f>
        <v>10.871706774346785</v>
      </c>
      <c r="Q47" s="3"/>
      <c r="R47" s="3"/>
      <c r="S47" s="20">
        <f>+COUNT('Current prices, current borders'!B47:I47)</f>
        <v>1</v>
      </c>
      <c r="T47" s="20">
        <f>+COUNT('Current prices, current borders'!L47:S47)</f>
        <v>3</v>
      </c>
      <c r="U47" s="20"/>
      <c r="V47" s="20">
        <f>+COUNT('Current prices, 1913 borders'!B47:I47)</f>
        <v>1</v>
      </c>
      <c r="W47" s="20">
        <f>+COUNT('Current prices, 1913 borders'!L47:S47)</f>
        <v>3</v>
      </c>
      <c r="X47" s="20"/>
      <c r="Y47" s="20">
        <f>+COUNT('Constant prices, current border'!B47:I47)</f>
        <v>1</v>
      </c>
      <c r="Z47" s="20">
        <f>+COUNT('Constant prices, current border'!L47:S47)</f>
        <v>3</v>
      </c>
      <c r="AA47" s="20"/>
      <c r="AB47" s="20">
        <f>+COUNT('Constant prices, 1913 borders'!B47:I47)</f>
        <v>1</v>
      </c>
      <c r="AC47" s="20">
        <f>+COUNT('Constant prices, 1913 borders'!L47:S47)</f>
        <v>3</v>
      </c>
    </row>
    <row r="48" spans="1:29" x14ac:dyDescent="0.25">
      <c r="A48">
        <v>1841</v>
      </c>
      <c r="B48" s="21">
        <f>+SUM('Current prices, current borders'!B48:I48)</f>
        <v>15.136679999999998</v>
      </c>
      <c r="C48" s="21"/>
      <c r="D48" s="21">
        <f>+SUM('Current prices, current borders'!L48:S48)</f>
        <v>6.6293727873817359</v>
      </c>
      <c r="E48" s="21"/>
      <c r="F48" s="21">
        <f>+SUM('Current prices, 1913 borders'!B48:I48)</f>
        <v>15.136679999999998</v>
      </c>
      <c r="G48" s="21"/>
      <c r="H48" s="21">
        <f>+SUM('Current prices, 1913 borders'!L48:S48)</f>
        <v>6.4403255401129016</v>
      </c>
      <c r="I48" s="21"/>
      <c r="J48" s="21">
        <f>+SUM('Constant prices, current border'!B48:I48)</f>
        <v>11.242861128735013</v>
      </c>
      <c r="K48" s="21"/>
      <c r="L48" s="21">
        <f>+SUM('Constant prices, current border'!L48:S48)</f>
        <v>8.9393584913882176</v>
      </c>
      <c r="M48" s="21"/>
      <c r="N48" s="21">
        <f>+SUM('Constant prices, 1913 borders'!B48:I48)</f>
        <v>11.242861128735013</v>
      </c>
      <c r="O48" s="21"/>
      <c r="P48" s="21">
        <f>+SUM('Constant prices, 1913 borders'!L48:S48)</f>
        <v>8.8552208407275401</v>
      </c>
      <c r="Q48" s="3"/>
      <c r="R48" s="3"/>
      <c r="S48" s="20">
        <f>+COUNT('Current prices, current borders'!B48:I48)</f>
        <v>1</v>
      </c>
      <c r="T48" s="20">
        <f>+COUNT('Current prices, current borders'!L48:S48)</f>
        <v>3</v>
      </c>
      <c r="U48" s="20"/>
      <c r="V48" s="20">
        <f>+COUNT('Current prices, 1913 borders'!B48:I48)</f>
        <v>1</v>
      </c>
      <c r="W48" s="20">
        <f>+COUNT('Current prices, 1913 borders'!L48:S48)</f>
        <v>3</v>
      </c>
      <c r="X48" s="20"/>
      <c r="Y48" s="20">
        <f>+COUNT('Constant prices, current border'!B48:I48)</f>
        <v>1</v>
      </c>
      <c r="Z48" s="20">
        <f>+COUNT('Constant prices, current border'!L48:S48)</f>
        <v>3</v>
      </c>
      <c r="AA48" s="20"/>
      <c r="AB48" s="20">
        <f>+COUNT('Constant prices, 1913 borders'!B48:I48)</f>
        <v>1</v>
      </c>
      <c r="AC48" s="20">
        <f>+COUNT('Constant prices, 1913 borders'!L48:S48)</f>
        <v>3</v>
      </c>
    </row>
    <row r="49" spans="1:29" x14ac:dyDescent="0.25">
      <c r="A49">
        <v>1842</v>
      </c>
      <c r="B49" s="21">
        <f>+SUM('Current prices, current borders'!B49:I49)</f>
        <v>8.1106999999999996</v>
      </c>
      <c r="C49" s="21"/>
      <c r="D49" s="21">
        <f>+SUM('Current prices, current borders'!L49:S49)</f>
        <v>6.4963684828414285</v>
      </c>
      <c r="E49" s="21"/>
      <c r="F49" s="21">
        <f>+SUM('Current prices, 1913 borders'!B49:I49)</f>
        <v>8.1106999999999996</v>
      </c>
      <c r="G49" s="21"/>
      <c r="H49" s="21">
        <f>+SUM('Current prices, 1913 borders'!L49:S49)</f>
        <v>6.3248414051898152</v>
      </c>
      <c r="I49" s="21"/>
      <c r="J49" s="21">
        <f>+SUM('Constant prices, current border'!B49:I49)</f>
        <v>6.7677510309860329</v>
      </c>
      <c r="K49" s="21"/>
      <c r="L49" s="21">
        <f>+SUM('Constant prices, current border'!L49:S49)</f>
        <v>8.9451207176447411</v>
      </c>
      <c r="M49" s="21"/>
      <c r="N49" s="21">
        <f>+SUM('Constant prices, 1913 borders'!B49:I49)</f>
        <v>6.7677510309860329</v>
      </c>
      <c r="O49" s="21"/>
      <c r="P49" s="21">
        <f>+SUM('Constant prices, 1913 borders'!L49:S49)</f>
        <v>8.8627809163856366</v>
      </c>
      <c r="Q49" s="3"/>
      <c r="R49" s="3"/>
      <c r="S49" s="20">
        <f>+COUNT('Current prices, current borders'!B49:I49)</f>
        <v>1</v>
      </c>
      <c r="T49" s="20">
        <f>+COUNT('Current prices, current borders'!L49:S49)</f>
        <v>3</v>
      </c>
      <c r="U49" s="20"/>
      <c r="V49" s="20">
        <f>+COUNT('Current prices, 1913 borders'!B49:I49)</f>
        <v>1</v>
      </c>
      <c r="W49" s="20">
        <f>+COUNT('Current prices, 1913 borders'!L49:S49)</f>
        <v>3</v>
      </c>
      <c r="X49" s="20"/>
      <c r="Y49" s="20">
        <f>+COUNT('Constant prices, current border'!B49:I49)</f>
        <v>1</v>
      </c>
      <c r="Z49" s="20">
        <f>+COUNT('Constant prices, current border'!L49:S49)</f>
        <v>3</v>
      </c>
      <c r="AA49" s="20"/>
      <c r="AB49" s="20">
        <f>+COUNT('Constant prices, 1913 borders'!B49:I49)</f>
        <v>1</v>
      </c>
      <c r="AC49" s="20">
        <f>+COUNT('Constant prices, 1913 borders'!L49:S49)</f>
        <v>3</v>
      </c>
    </row>
    <row r="50" spans="1:29" x14ac:dyDescent="0.25">
      <c r="A50">
        <v>1843</v>
      </c>
      <c r="B50" s="21">
        <f>+SUM('Current prices, current borders'!B50:I50)</f>
        <v>9.1389999999999993</v>
      </c>
      <c r="C50" s="21"/>
      <c r="D50" s="21">
        <f>+SUM('Current prices, current borders'!L50:S50)</f>
        <v>6.6695412000000003</v>
      </c>
      <c r="E50" s="21"/>
      <c r="F50" s="21">
        <f>+SUM('Current prices, 1913 borders'!B50:I50)</f>
        <v>9.1389999999999993</v>
      </c>
      <c r="G50" s="21"/>
      <c r="H50" s="21">
        <f>+SUM('Current prices, 1913 borders'!L50:S50)</f>
        <v>6.5139105902304557</v>
      </c>
      <c r="I50" s="21"/>
      <c r="J50" s="21">
        <f>+SUM('Constant prices, current border'!B50:I50)</f>
        <v>8.5612119405228846</v>
      </c>
      <c r="K50" s="21"/>
      <c r="L50" s="21">
        <f>+SUM('Constant prices, current border'!L50:S50)</f>
        <v>9.0988851053369615</v>
      </c>
      <c r="M50" s="21"/>
      <c r="N50" s="21">
        <f>+SUM('Constant prices, 1913 borders'!B50:I50)</f>
        <v>8.5612119405228846</v>
      </c>
      <c r="O50" s="21"/>
      <c r="P50" s="21">
        <f>+SUM('Constant prices, 1913 borders'!L50:S50)</f>
        <v>9.0192480299346141</v>
      </c>
      <c r="Q50" s="3"/>
      <c r="R50" s="3"/>
      <c r="S50" s="20">
        <f>+COUNT('Current prices, current borders'!B50:I50)</f>
        <v>1</v>
      </c>
      <c r="T50" s="20">
        <f>+COUNT('Current prices, current borders'!L50:S50)</f>
        <v>3</v>
      </c>
      <c r="U50" s="20"/>
      <c r="V50" s="20">
        <f>+COUNT('Current prices, 1913 borders'!B50:I50)</f>
        <v>1</v>
      </c>
      <c r="W50" s="20">
        <f>+COUNT('Current prices, 1913 borders'!L50:S50)</f>
        <v>3</v>
      </c>
      <c r="X50" s="20"/>
      <c r="Y50" s="20">
        <f>+COUNT('Constant prices, current border'!B50:I50)</f>
        <v>1</v>
      </c>
      <c r="Z50" s="20">
        <f>+COUNT('Constant prices, current border'!L50:S50)</f>
        <v>3</v>
      </c>
      <c r="AA50" s="20"/>
      <c r="AB50" s="20">
        <f>+COUNT('Constant prices, 1913 borders'!B50:I50)</f>
        <v>1</v>
      </c>
      <c r="AC50" s="20">
        <f>+COUNT('Constant prices, 1913 borders'!L50:S50)</f>
        <v>3</v>
      </c>
    </row>
    <row r="51" spans="1:29" x14ac:dyDescent="0.25">
      <c r="A51">
        <v>1844</v>
      </c>
      <c r="B51" s="21">
        <f>+SUM('Current prices, current borders'!B51:I51)</f>
        <v>5.9055599999999995</v>
      </c>
      <c r="C51" s="21"/>
      <c r="D51" s="21">
        <f>+SUM('Current prices, current borders'!L51:S51)</f>
        <v>6.7496650000000002</v>
      </c>
      <c r="E51" s="21"/>
      <c r="F51" s="21">
        <f>+SUM('Current prices, 1913 borders'!B51:I51)</f>
        <v>5.9055599999999995</v>
      </c>
      <c r="G51" s="21"/>
      <c r="H51" s="21">
        <f>+SUM('Current prices, 1913 borders'!L51:S51)</f>
        <v>6.6422995793362007</v>
      </c>
      <c r="I51" s="21"/>
      <c r="J51" s="21">
        <f>+SUM('Constant prices, current border'!B51:I51)</f>
        <v>5.3809976709956091</v>
      </c>
      <c r="K51" s="21"/>
      <c r="L51" s="21">
        <f>+SUM('Constant prices, current border'!L51:S51)</f>
        <v>8.606414747043166</v>
      </c>
      <c r="M51" s="21"/>
      <c r="N51" s="21">
        <f>+SUM('Constant prices, 1913 borders'!B51:I51)</f>
        <v>5.3809976709956091</v>
      </c>
      <c r="O51" s="21"/>
      <c r="P51" s="21">
        <f>+SUM('Constant prices, 1913 borders'!L51:S51)</f>
        <v>8.5515219030226532</v>
      </c>
      <c r="Q51" s="3"/>
      <c r="R51" s="3"/>
      <c r="S51" s="20">
        <f>+COUNT('Current prices, current borders'!B51:I51)</f>
        <v>1</v>
      </c>
      <c r="T51" s="20">
        <f>+COUNT('Current prices, current borders'!L51:S51)</f>
        <v>3</v>
      </c>
      <c r="U51" s="20"/>
      <c r="V51" s="20">
        <f>+COUNT('Current prices, 1913 borders'!B51:I51)</f>
        <v>1</v>
      </c>
      <c r="W51" s="20">
        <f>+COUNT('Current prices, 1913 borders'!L51:S51)</f>
        <v>3</v>
      </c>
      <c r="X51" s="20"/>
      <c r="Y51" s="20">
        <f>+COUNT('Constant prices, current border'!B51:I51)</f>
        <v>1</v>
      </c>
      <c r="Z51" s="20">
        <f>+COUNT('Constant prices, current border'!L51:S51)</f>
        <v>3</v>
      </c>
      <c r="AA51" s="20"/>
      <c r="AB51" s="20">
        <f>+COUNT('Constant prices, 1913 borders'!B51:I51)</f>
        <v>1</v>
      </c>
      <c r="AC51" s="20">
        <f>+COUNT('Constant prices, 1913 borders'!L51:S51)</f>
        <v>3</v>
      </c>
    </row>
    <row r="52" spans="1:29" x14ac:dyDescent="0.25">
      <c r="A52">
        <v>1845</v>
      </c>
      <c r="B52" s="21">
        <f>+SUM('Current prices, current borders'!B52:I52)</f>
        <v>7.9091199999999997</v>
      </c>
      <c r="C52" s="21"/>
      <c r="D52" s="21">
        <f>+SUM('Current prices, current borders'!L52:S52)</f>
        <v>8.8765301000000001</v>
      </c>
      <c r="E52" s="21"/>
      <c r="F52" s="21">
        <f>+SUM('Current prices, 1913 borders'!B52:I52)</f>
        <v>7.9091199999999997</v>
      </c>
      <c r="G52" s="21"/>
      <c r="H52" s="21">
        <f>+SUM('Current prices, 1913 borders'!L52:S52)</f>
        <v>8.77999972178851</v>
      </c>
      <c r="I52" s="21"/>
      <c r="J52" s="21">
        <f>+SUM('Constant prices, current border'!B52:I52)</f>
        <v>6.8614417737447626</v>
      </c>
      <c r="K52" s="21"/>
      <c r="L52" s="21">
        <f>+SUM('Constant prices, current border'!L52:S52)</f>
        <v>12.003374285766471</v>
      </c>
      <c r="M52" s="21"/>
      <c r="N52" s="21">
        <f>+SUM('Constant prices, 1913 borders'!B52:I52)</f>
        <v>6.8614417737447626</v>
      </c>
      <c r="O52" s="21"/>
      <c r="P52" s="21">
        <f>+SUM('Constant prices, 1913 borders'!L52:S52)</f>
        <v>11.952242197161922</v>
      </c>
      <c r="Q52" s="3"/>
      <c r="R52" s="3"/>
      <c r="S52" s="20">
        <f>+COUNT('Current prices, current borders'!B52:I52)</f>
        <v>1</v>
      </c>
      <c r="T52" s="20">
        <f>+COUNT('Current prices, current borders'!L52:S52)</f>
        <v>3</v>
      </c>
      <c r="U52" s="20"/>
      <c r="V52" s="20">
        <f>+COUNT('Current prices, 1913 borders'!B52:I52)</f>
        <v>1</v>
      </c>
      <c r="W52" s="20">
        <f>+COUNT('Current prices, 1913 borders'!L52:S52)</f>
        <v>3</v>
      </c>
      <c r="X52" s="20"/>
      <c r="Y52" s="20">
        <f>+COUNT('Constant prices, current border'!B52:I52)</f>
        <v>1</v>
      </c>
      <c r="Z52" s="20">
        <f>+COUNT('Constant prices, current border'!L52:S52)</f>
        <v>3</v>
      </c>
      <c r="AA52" s="20"/>
      <c r="AB52" s="20">
        <f>+COUNT('Constant prices, 1913 borders'!B52:I52)</f>
        <v>1</v>
      </c>
      <c r="AC52" s="20">
        <f>+COUNT('Constant prices, 1913 borders'!L52:S52)</f>
        <v>3</v>
      </c>
    </row>
    <row r="53" spans="1:29" x14ac:dyDescent="0.25">
      <c r="A53">
        <v>1846</v>
      </c>
      <c r="B53" s="21">
        <f>+SUM('Current prices, current borders'!B53:I53)</f>
        <v>9.5785999999999998</v>
      </c>
      <c r="C53" s="21"/>
      <c r="D53" s="21">
        <f>+SUM('Current prices, current borders'!L53:S53)</f>
        <v>9.2586186999999995</v>
      </c>
      <c r="E53" s="21"/>
      <c r="F53" s="21">
        <f>+SUM('Current prices, 1913 borders'!B53:I53)</f>
        <v>9.5785999999999998</v>
      </c>
      <c r="G53" s="21"/>
      <c r="H53" s="21">
        <f>+SUM('Current prices, 1913 borders'!L53:S53)</f>
        <v>9.0714679667328255</v>
      </c>
      <c r="I53" s="21"/>
      <c r="J53" s="21">
        <f>+SUM('Constant prices, current border'!B53:I53)</f>
        <v>7.8652377419337194</v>
      </c>
      <c r="K53" s="21"/>
      <c r="L53" s="21">
        <f>+SUM('Constant prices, current border'!L53:S53)</f>
        <v>10.655116876533341</v>
      </c>
      <c r="M53" s="21"/>
      <c r="N53" s="21">
        <f>+SUM('Constant prices, 1913 borders'!B53:I53)</f>
        <v>7.8652377419337194</v>
      </c>
      <c r="O53" s="21"/>
      <c r="P53" s="21">
        <f>+SUM('Constant prices, 1913 borders'!L53:S53)</f>
        <v>10.555533453813752</v>
      </c>
      <c r="Q53" s="3"/>
      <c r="R53" s="3"/>
      <c r="S53" s="20">
        <f>+COUNT('Current prices, current borders'!B53:I53)</f>
        <v>1</v>
      </c>
      <c r="T53" s="20">
        <f>+COUNT('Current prices, current borders'!L53:S53)</f>
        <v>3</v>
      </c>
      <c r="U53" s="20"/>
      <c r="V53" s="20">
        <f>+COUNT('Current prices, 1913 borders'!B53:I53)</f>
        <v>1</v>
      </c>
      <c r="W53" s="20">
        <f>+COUNT('Current prices, 1913 borders'!L53:S53)</f>
        <v>3</v>
      </c>
      <c r="X53" s="20"/>
      <c r="Y53" s="20">
        <f>+COUNT('Constant prices, current border'!B53:I53)</f>
        <v>1</v>
      </c>
      <c r="Z53" s="20">
        <f>+COUNT('Constant prices, current border'!L53:S53)</f>
        <v>3</v>
      </c>
      <c r="AA53" s="20"/>
      <c r="AB53" s="20">
        <f>+COUNT('Constant prices, 1913 borders'!B53:I53)</f>
        <v>1</v>
      </c>
      <c r="AC53" s="20">
        <f>+COUNT('Constant prices, 1913 borders'!L53:S53)</f>
        <v>3</v>
      </c>
    </row>
    <row r="54" spans="1:29" x14ac:dyDescent="0.25">
      <c r="A54">
        <v>1847</v>
      </c>
      <c r="B54" s="21">
        <f>+SUM('Current prices, current borders'!B54:I54)</f>
        <v>11.256960000000001</v>
      </c>
      <c r="C54" s="21"/>
      <c r="D54" s="21">
        <f>+SUM('Current prices, current borders'!L54:S54)</f>
        <v>10.893376400000001</v>
      </c>
      <c r="E54" s="21"/>
      <c r="F54" s="21">
        <f>+SUM('Current prices, 1913 borders'!B54:I54)</f>
        <v>11.256960000000001</v>
      </c>
      <c r="G54" s="21"/>
      <c r="H54" s="21">
        <f>+SUM('Current prices, 1913 borders'!L54:S54)</f>
        <v>10.544685033807477</v>
      </c>
      <c r="I54" s="21"/>
      <c r="J54" s="21">
        <f>+SUM('Constant prices, current border'!B54:I54)</f>
        <v>8.7672790606809006</v>
      </c>
      <c r="K54" s="21"/>
      <c r="L54" s="21">
        <f>+SUM('Constant prices, current border'!L54:S54)</f>
        <v>11.427443957535679</v>
      </c>
      <c r="M54" s="21"/>
      <c r="N54" s="21">
        <f>+SUM('Constant prices, 1913 borders'!B54:I54)</f>
        <v>8.7672790606809006</v>
      </c>
      <c r="O54" s="21"/>
      <c r="P54" s="21">
        <f>+SUM('Constant prices, 1913 borders'!L54:S54)</f>
        <v>11.214812404954658</v>
      </c>
      <c r="Q54" s="3"/>
      <c r="R54" s="3"/>
      <c r="S54" s="20">
        <f>+COUNT('Current prices, current borders'!B54:I54)</f>
        <v>1</v>
      </c>
      <c r="T54" s="20">
        <f>+COUNT('Current prices, current borders'!L54:S54)</f>
        <v>3</v>
      </c>
      <c r="U54" s="20"/>
      <c r="V54" s="20">
        <f>+COUNT('Current prices, 1913 borders'!B54:I54)</f>
        <v>1</v>
      </c>
      <c r="W54" s="20">
        <f>+COUNT('Current prices, 1913 borders'!L54:S54)</f>
        <v>3</v>
      </c>
      <c r="X54" s="20"/>
      <c r="Y54" s="20">
        <f>+COUNT('Constant prices, current border'!B54:I54)</f>
        <v>1</v>
      </c>
      <c r="Z54" s="20">
        <f>+COUNT('Constant prices, current border'!L54:S54)</f>
        <v>3</v>
      </c>
      <c r="AA54" s="20"/>
      <c r="AB54" s="20">
        <f>+COUNT('Constant prices, 1913 borders'!B54:I54)</f>
        <v>1</v>
      </c>
      <c r="AC54" s="20">
        <f>+COUNT('Constant prices, 1913 borders'!L54:S54)</f>
        <v>3</v>
      </c>
    </row>
    <row r="55" spans="1:29" x14ac:dyDescent="0.25">
      <c r="A55">
        <v>1848</v>
      </c>
      <c r="B55" s="21">
        <f>+SUM('Current prices, current borders'!B55:I55)</f>
        <v>9.5191999999999997</v>
      </c>
      <c r="C55" s="21"/>
      <c r="D55" s="21">
        <f>+SUM('Current prices, current borders'!L55:S55)</f>
        <v>11.680293999999998</v>
      </c>
      <c r="E55" s="21"/>
      <c r="F55" s="21">
        <f>+SUM('Current prices, 1913 borders'!B55:I55)</f>
        <v>9.5191999999999997</v>
      </c>
      <c r="G55" s="21"/>
      <c r="H55" s="21">
        <f>+SUM('Current prices, 1913 borders'!L55:S55)</f>
        <v>11.169076997022824</v>
      </c>
      <c r="I55" s="21"/>
      <c r="J55" s="21">
        <f>+SUM('Constant prices, current border'!B55:I55)</f>
        <v>8.6969948216817805</v>
      </c>
      <c r="K55" s="21"/>
      <c r="L55" s="21">
        <f>+SUM('Constant prices, current border'!L55:S55)</f>
        <v>11.709639367277218</v>
      </c>
      <c r="M55" s="21"/>
      <c r="N55" s="21">
        <f>+SUM('Constant prices, 1913 borders'!B55:I55)</f>
        <v>8.6969948216817805</v>
      </c>
      <c r="O55" s="21"/>
      <c r="P55" s="21">
        <f>+SUM('Constant prices, 1913 borders'!L55:S55)</f>
        <v>11.384868220896314</v>
      </c>
      <c r="Q55" s="3"/>
      <c r="R55" s="3"/>
      <c r="S55" s="20">
        <f>+COUNT('Current prices, current borders'!B55:I55)</f>
        <v>1</v>
      </c>
      <c r="T55" s="20">
        <f>+COUNT('Current prices, current borders'!L55:S55)</f>
        <v>3</v>
      </c>
      <c r="U55" s="20"/>
      <c r="V55" s="20">
        <f>+COUNT('Current prices, 1913 borders'!B55:I55)</f>
        <v>1</v>
      </c>
      <c r="W55" s="20">
        <f>+COUNT('Current prices, 1913 borders'!L55:S55)</f>
        <v>3</v>
      </c>
      <c r="X55" s="20"/>
      <c r="Y55" s="20">
        <f>+COUNT('Constant prices, current border'!B55:I55)</f>
        <v>1</v>
      </c>
      <c r="Z55" s="20">
        <f>+COUNT('Constant prices, current border'!L55:S55)</f>
        <v>3</v>
      </c>
      <c r="AA55" s="20"/>
      <c r="AB55" s="20">
        <f>+COUNT('Constant prices, 1913 borders'!B55:I55)</f>
        <v>1</v>
      </c>
      <c r="AC55" s="20">
        <f>+COUNT('Constant prices, 1913 borders'!L55:S55)</f>
        <v>3</v>
      </c>
    </row>
    <row r="56" spans="1:29" x14ac:dyDescent="0.25">
      <c r="A56">
        <v>1849</v>
      </c>
      <c r="B56" s="21">
        <f>+SUM('Current prices, current borders'!B56:I56)</f>
        <v>11.704000000000001</v>
      </c>
      <c r="C56" s="21"/>
      <c r="D56" s="21">
        <f>+SUM('Current prices, current borders'!L56:S56)</f>
        <v>12.027460900000001</v>
      </c>
      <c r="E56" s="21"/>
      <c r="F56" s="21">
        <f>+SUM('Current prices, 1913 borders'!B56:I56)</f>
        <v>11.704000000000001</v>
      </c>
      <c r="G56" s="21"/>
      <c r="H56" s="21">
        <f>+SUM('Current prices, 1913 borders'!L56:S56)</f>
        <v>11.868875278652554</v>
      </c>
      <c r="I56" s="21"/>
      <c r="J56" s="21">
        <f>+SUM('Constant prices, current border'!B56:I56)</f>
        <v>11.531338485792141</v>
      </c>
      <c r="K56" s="21"/>
      <c r="L56" s="21">
        <f>+SUM('Constant prices, current border'!L56:S56)</f>
        <v>13.809887716147623</v>
      </c>
      <c r="M56" s="21"/>
      <c r="N56" s="21">
        <f>+SUM('Constant prices, 1913 borders'!B56:I56)</f>
        <v>11.531338485792141</v>
      </c>
      <c r="O56" s="21"/>
      <c r="P56" s="21">
        <f>+SUM('Constant prices, 1913 borders'!L56:S56)</f>
        <v>13.708159336893457</v>
      </c>
      <c r="Q56" s="3"/>
      <c r="R56" s="3"/>
      <c r="S56" s="20">
        <f>+COUNT('Current prices, current borders'!B56:I56)</f>
        <v>1</v>
      </c>
      <c r="T56" s="20">
        <f>+COUNT('Current prices, current borders'!L56:S56)</f>
        <v>3</v>
      </c>
      <c r="U56" s="20"/>
      <c r="V56" s="20">
        <f>+COUNT('Current prices, 1913 borders'!B56:I56)</f>
        <v>1</v>
      </c>
      <c r="W56" s="20">
        <f>+COUNT('Current prices, 1913 borders'!L56:S56)</f>
        <v>3</v>
      </c>
      <c r="X56" s="20"/>
      <c r="Y56" s="20">
        <f>+COUNT('Constant prices, current border'!B56:I56)</f>
        <v>1</v>
      </c>
      <c r="Z56" s="20">
        <f>+COUNT('Constant prices, current border'!L56:S56)</f>
        <v>3</v>
      </c>
      <c r="AA56" s="20"/>
      <c r="AB56" s="20">
        <f>+COUNT('Constant prices, 1913 borders'!B56:I56)</f>
        <v>1</v>
      </c>
      <c r="AC56" s="20">
        <f>+COUNT('Constant prices, 1913 borders'!L56:S56)</f>
        <v>3</v>
      </c>
    </row>
    <row r="57" spans="1:29" x14ac:dyDescent="0.25">
      <c r="A57">
        <v>1850</v>
      </c>
      <c r="B57" s="22">
        <f>+SUM('Current prices, current borders'!B57:I57)</f>
        <v>18.557495617968151</v>
      </c>
      <c r="C57" s="21"/>
      <c r="D57" s="21">
        <f>+SUM('Current prices, current borders'!L57:S57)</f>
        <v>14.694017917135257</v>
      </c>
      <c r="E57" s="21"/>
      <c r="F57" s="21">
        <f>+SUM('Current prices, 1913 borders'!B57:I57)</f>
        <v>17.968495617968152</v>
      </c>
      <c r="G57" s="21"/>
      <c r="H57" s="21">
        <f>+SUM('Current prices, 1913 borders'!L57:S57)</f>
        <v>14.257661207464952</v>
      </c>
      <c r="I57" s="21"/>
      <c r="J57" s="21">
        <f>+SUM('Constant prices, current border'!B57:I57)</f>
        <v>18.430584402583321</v>
      </c>
      <c r="K57" s="21"/>
      <c r="L57" s="21">
        <f>+SUM('Constant prices, current border'!L57:S57)</f>
        <v>19.737383227861002</v>
      </c>
      <c r="M57" s="21"/>
      <c r="N57" s="21">
        <f>+SUM('Constant prices, 1913 borders'!B57:I57)</f>
        <v>17.994745887304873</v>
      </c>
      <c r="O57" s="21"/>
      <c r="P57" s="21">
        <f>+SUM('Constant prices, 1913 borders'!L57:S57)</f>
        <v>19.46831941882602</v>
      </c>
      <c r="Q57" s="3"/>
      <c r="R57" s="3"/>
      <c r="S57" s="20">
        <f>+COUNT('Current prices, current borders'!B57:I57)</f>
        <v>6</v>
      </c>
      <c r="T57" s="20">
        <f>+COUNT('Current prices, current borders'!L57:S57)</f>
        <v>6</v>
      </c>
      <c r="U57" s="20"/>
      <c r="V57" s="20">
        <f>+COUNT('Current prices, 1913 borders'!B57:I57)</f>
        <v>6</v>
      </c>
      <c r="W57" s="20">
        <f>+COUNT('Current prices, 1913 borders'!L57:S57)</f>
        <v>6</v>
      </c>
      <c r="X57" s="20"/>
      <c r="Y57" s="20">
        <f>+COUNT('Constant prices, current border'!B57:I57)</f>
        <v>6</v>
      </c>
      <c r="Z57" s="20">
        <f>+COUNT('Constant prices, current border'!L57:S57)</f>
        <v>6</v>
      </c>
      <c r="AA57" s="20"/>
      <c r="AB57" s="20">
        <f>+COUNT('Constant prices, 1913 borders'!B57:I57)</f>
        <v>6</v>
      </c>
      <c r="AC57" s="20">
        <f>+COUNT('Constant prices, 1913 borders'!L57:S57)</f>
        <v>6</v>
      </c>
    </row>
    <row r="58" spans="1:29" x14ac:dyDescent="0.25">
      <c r="A58">
        <v>1851</v>
      </c>
      <c r="B58" s="21">
        <f>+SUM('Current prices, current borders'!B58:I58)</f>
        <v>23.726471588549661</v>
      </c>
      <c r="C58" s="21"/>
      <c r="D58" s="21">
        <f>+SUM('Current prices, current borders'!L58:S58)</f>
        <v>15.526493643485479</v>
      </c>
      <c r="E58" s="21"/>
      <c r="F58" s="21">
        <f>+SUM('Current prices, 1913 borders'!B58:I58)</f>
        <v>22.80747158854966</v>
      </c>
      <c r="G58" s="21"/>
      <c r="H58" s="21">
        <f>+SUM('Current prices, 1913 borders'!L58:S58)</f>
        <v>14.956176408950249</v>
      </c>
      <c r="I58" s="21"/>
      <c r="J58" s="21">
        <f>+SUM('Constant prices, current border'!B58:I58)</f>
        <v>22.496180101013426</v>
      </c>
      <c r="K58" s="21"/>
      <c r="L58" s="21">
        <f>+SUM('Constant prices, current border'!L58:S58)</f>
        <v>18.414111784628371</v>
      </c>
      <c r="M58" s="21"/>
      <c r="N58" s="21">
        <f>+SUM('Constant prices, 1913 borders'!B58:I58)</f>
        <v>21.834944429907509</v>
      </c>
      <c r="O58" s="21"/>
      <c r="P58" s="21">
        <f>+SUM('Constant prices, 1913 borders'!L58:S58)</f>
        <v>18.082149743498068</v>
      </c>
      <c r="Q58" s="3"/>
      <c r="R58" s="3"/>
      <c r="S58" s="20">
        <f>+COUNT('Current prices, current borders'!B58:I58)</f>
        <v>6</v>
      </c>
      <c r="T58" s="20">
        <f>+COUNT('Current prices, current borders'!L58:S58)</f>
        <v>6</v>
      </c>
      <c r="U58" s="20"/>
      <c r="V58" s="20">
        <f>+COUNT('Current prices, 1913 borders'!B58:I58)</f>
        <v>6</v>
      </c>
      <c r="W58" s="20">
        <f>+COUNT('Current prices, 1913 borders'!L58:S58)</f>
        <v>6</v>
      </c>
      <c r="X58" s="20"/>
      <c r="Y58" s="20">
        <f>+COUNT('Constant prices, current border'!B58:I58)</f>
        <v>6</v>
      </c>
      <c r="Z58" s="20">
        <f>+COUNT('Constant prices, current border'!L58:S58)</f>
        <v>6</v>
      </c>
      <c r="AA58" s="20"/>
      <c r="AB58" s="20">
        <f>+COUNT('Constant prices, 1913 borders'!B58:I58)</f>
        <v>6</v>
      </c>
      <c r="AC58" s="20">
        <f>+COUNT('Constant prices, 1913 borders'!L58:S58)</f>
        <v>6</v>
      </c>
    </row>
    <row r="59" spans="1:29" x14ac:dyDescent="0.25">
      <c r="A59">
        <v>1852</v>
      </c>
      <c r="B59" s="21">
        <f>+SUM('Current prices, current borders'!B59:I59)</f>
        <v>29.200646769797149</v>
      </c>
      <c r="C59" s="21"/>
      <c r="D59" s="21">
        <f>+SUM('Current prices, current borders'!L59:S59)</f>
        <v>59.749342104754682</v>
      </c>
      <c r="E59" s="21"/>
      <c r="F59" s="21">
        <f>+SUM('Current prices, 1913 borders'!B59:I59)</f>
        <v>28.736646769797147</v>
      </c>
      <c r="G59" s="21"/>
      <c r="H59" s="21">
        <f>+SUM('Current prices, 1913 borders'!L59:S59)</f>
        <v>59.246005132651909</v>
      </c>
      <c r="I59" s="21"/>
      <c r="J59" s="21">
        <f>+SUM('Constant prices, current border'!B59:I59)</f>
        <v>25.305242366855953</v>
      </c>
      <c r="K59" s="21"/>
      <c r="L59" s="21">
        <f>+SUM('Constant prices, current border'!L59:S59)</f>
        <v>64.653135602872055</v>
      </c>
      <c r="M59" s="21"/>
      <c r="N59" s="21">
        <f>+SUM('Constant prices, 1913 borders'!B59:I59)</f>
        <v>25.001346747982943</v>
      </c>
      <c r="O59" s="21"/>
      <c r="P59" s="21">
        <f>+SUM('Constant prices, 1913 borders'!L59:S59)</f>
        <v>64.324959503446678</v>
      </c>
      <c r="Q59" s="3"/>
      <c r="R59" s="3"/>
      <c r="S59" s="20">
        <f>+COUNT('Current prices, current borders'!B59:I59)</f>
        <v>6</v>
      </c>
      <c r="T59" s="20">
        <f>+COUNT('Current prices, current borders'!L59:S59)</f>
        <v>6</v>
      </c>
      <c r="U59" s="20"/>
      <c r="V59" s="20">
        <f>+COUNT('Current prices, 1913 borders'!B59:I59)</f>
        <v>6</v>
      </c>
      <c r="W59" s="20">
        <f>+COUNT('Current prices, 1913 borders'!L59:S59)</f>
        <v>6</v>
      </c>
      <c r="X59" s="20"/>
      <c r="Y59" s="20">
        <f>+COUNT('Constant prices, current border'!B59:I59)</f>
        <v>6</v>
      </c>
      <c r="Z59" s="20">
        <f>+COUNT('Constant prices, current border'!L59:S59)</f>
        <v>6</v>
      </c>
      <c r="AA59" s="20"/>
      <c r="AB59" s="20">
        <f>+COUNT('Constant prices, 1913 borders'!B59:I59)</f>
        <v>6</v>
      </c>
      <c r="AC59" s="20">
        <f>+COUNT('Constant prices, 1913 borders'!L59:S59)</f>
        <v>6</v>
      </c>
    </row>
    <row r="60" spans="1:29" x14ac:dyDescent="0.25">
      <c r="A60">
        <v>1853</v>
      </c>
      <c r="B60" s="21">
        <f>+SUM('Current prices, current borders'!B60:I60)</f>
        <v>78.386843403461285</v>
      </c>
      <c r="C60" s="21"/>
      <c r="D60" s="21">
        <f>+SUM('Current prices, current borders'!L60:S60)</f>
        <v>71.229929740266201</v>
      </c>
      <c r="E60" s="21"/>
      <c r="F60" s="21">
        <f>+SUM('Current prices, 1913 borders'!B60:I60)</f>
        <v>77.27284340346128</v>
      </c>
      <c r="G60" s="21"/>
      <c r="H60" s="21">
        <f>+SUM('Current prices, 1913 borders'!L60:S60)</f>
        <v>70.889118404948078</v>
      </c>
      <c r="I60" s="21"/>
      <c r="J60" s="21">
        <f>+SUM('Constant prices, current border'!B60:I60)</f>
        <v>55.271498132591397</v>
      </c>
      <c r="K60" s="21"/>
      <c r="L60" s="21">
        <f>+SUM('Constant prices, current border'!L60:S60)</f>
        <v>69.665892458137463</v>
      </c>
      <c r="M60" s="21"/>
      <c r="N60" s="21">
        <f>+SUM('Constant prices, 1913 borders'!B60:I60)</f>
        <v>54.672808914730517</v>
      </c>
      <c r="O60" s="21"/>
      <c r="P60" s="21">
        <f>+SUM('Constant prices, 1913 borders'!L60:S60)</f>
        <v>69.454932155768702</v>
      </c>
      <c r="Q60" s="3"/>
      <c r="R60" s="3"/>
      <c r="S60" s="20">
        <f>+COUNT('Current prices, current borders'!B60:I60)</f>
        <v>6</v>
      </c>
      <c r="T60" s="20">
        <f>+COUNT('Current prices, current borders'!L60:S60)</f>
        <v>6</v>
      </c>
      <c r="U60" s="20"/>
      <c r="V60" s="20">
        <f>+COUNT('Current prices, 1913 borders'!B60:I60)</f>
        <v>6</v>
      </c>
      <c r="W60" s="20">
        <f>+COUNT('Current prices, 1913 borders'!L60:S60)</f>
        <v>6</v>
      </c>
      <c r="X60" s="20"/>
      <c r="Y60" s="20">
        <f>+COUNT('Constant prices, current border'!B60:I60)</f>
        <v>6</v>
      </c>
      <c r="Z60" s="20">
        <f>+COUNT('Constant prices, current border'!L60:S60)</f>
        <v>6</v>
      </c>
      <c r="AA60" s="20"/>
      <c r="AB60" s="20">
        <f>+COUNT('Constant prices, 1913 borders'!B60:I60)</f>
        <v>6</v>
      </c>
      <c r="AC60" s="20">
        <f>+COUNT('Constant prices, 1913 borders'!L60:S60)</f>
        <v>6</v>
      </c>
    </row>
    <row r="61" spans="1:29" x14ac:dyDescent="0.25">
      <c r="A61">
        <v>1854</v>
      </c>
      <c r="B61" s="21">
        <f>+SUM('Current prices, current borders'!B61:I61)</f>
        <v>111.87922585402302</v>
      </c>
      <c r="C61" s="21"/>
      <c r="D61" s="21">
        <f>+SUM('Current prices, current borders'!L61:S61)</f>
        <v>66.024231360350186</v>
      </c>
      <c r="E61" s="21"/>
      <c r="F61" s="21">
        <f>+SUM('Current prices, 1913 borders'!B61:I61)</f>
        <v>110.74922585402302</v>
      </c>
      <c r="G61" s="21"/>
      <c r="H61" s="21">
        <f>+SUM('Current prices, 1913 borders'!L61:S61)</f>
        <v>65.598709693132193</v>
      </c>
      <c r="I61" s="21"/>
      <c r="J61" s="21">
        <f>+SUM('Constant prices, current border'!B61:I61)</f>
        <v>76.127360456473738</v>
      </c>
      <c r="K61" s="21"/>
      <c r="L61" s="21">
        <f>+SUM('Constant prices, current border'!L61:S61)</f>
        <v>64.151581264677191</v>
      </c>
      <c r="M61" s="21"/>
      <c r="N61" s="21">
        <f>+SUM('Constant prices, 1913 borders'!B61:I61)</f>
        <v>75.571483908958598</v>
      </c>
      <c r="O61" s="21"/>
      <c r="P61" s="21">
        <f>+SUM('Constant prices, 1913 borders'!L61:S61)</f>
        <v>63.849282236115002</v>
      </c>
      <c r="Q61" s="3"/>
      <c r="R61" s="3"/>
      <c r="S61" s="20">
        <f>+COUNT('Current prices, current borders'!B61:I61)</f>
        <v>6</v>
      </c>
      <c r="T61" s="20">
        <f>+COUNT('Current prices, current borders'!L61:S61)</f>
        <v>6</v>
      </c>
      <c r="U61" s="20"/>
      <c r="V61" s="20">
        <f>+COUNT('Current prices, 1913 borders'!B61:I61)</f>
        <v>6</v>
      </c>
      <c r="W61" s="20">
        <f>+COUNT('Current prices, 1913 borders'!L61:S61)</f>
        <v>6</v>
      </c>
      <c r="X61" s="20"/>
      <c r="Y61" s="20">
        <f>+COUNT('Constant prices, current border'!B61:I61)</f>
        <v>6</v>
      </c>
      <c r="Z61" s="20">
        <f>+COUNT('Constant prices, current border'!L61:S61)</f>
        <v>6</v>
      </c>
      <c r="AA61" s="20"/>
      <c r="AB61" s="20">
        <f>+COUNT('Constant prices, 1913 borders'!B61:I61)</f>
        <v>6</v>
      </c>
      <c r="AC61" s="20">
        <f>+COUNT('Constant prices, 1913 borders'!L61:S61)</f>
        <v>6</v>
      </c>
    </row>
    <row r="62" spans="1:29" x14ac:dyDescent="0.25">
      <c r="A62">
        <v>1855</v>
      </c>
      <c r="B62" s="21">
        <f>+SUM('Current prices, current borders'!B62:I62)</f>
        <v>75.847600026876691</v>
      </c>
      <c r="C62" s="21"/>
      <c r="D62" s="21">
        <f>+SUM('Current prices, current borders'!L62:S62)</f>
        <v>73.840294747079838</v>
      </c>
      <c r="E62" s="21"/>
      <c r="F62" s="21">
        <f>+SUM('Current prices, 1913 borders'!B62:I62)</f>
        <v>74.931600026876694</v>
      </c>
      <c r="G62" s="21"/>
      <c r="H62" s="21">
        <f>+SUM('Current prices, 1913 borders'!L62:S62)</f>
        <v>73.434473157047861</v>
      </c>
      <c r="I62" s="21"/>
      <c r="J62" s="21">
        <f>+SUM('Constant prices, current border'!B62:I62)</f>
        <v>54.90852655642793</v>
      </c>
      <c r="K62" s="21"/>
      <c r="L62" s="21">
        <f>+SUM('Constant prices, current border'!L62:S62)</f>
        <v>74.475532149713217</v>
      </c>
      <c r="M62" s="21"/>
      <c r="N62" s="21">
        <f>+SUM('Constant prices, 1913 borders'!B62:I62)</f>
        <v>54.440441955549495</v>
      </c>
      <c r="O62" s="21"/>
      <c r="P62" s="21">
        <f>+SUM('Constant prices, 1913 borders'!L62:S62)</f>
        <v>74.261545500626355</v>
      </c>
      <c r="Q62" s="3"/>
      <c r="R62" s="3"/>
      <c r="S62" s="20">
        <f>+COUNT('Current prices, current borders'!B62:I62)</f>
        <v>6</v>
      </c>
      <c r="T62" s="20">
        <f>+COUNT('Current prices, current borders'!L62:S62)</f>
        <v>6</v>
      </c>
      <c r="U62" s="20"/>
      <c r="V62" s="20">
        <f>+COUNT('Current prices, 1913 borders'!B62:I62)</f>
        <v>6</v>
      </c>
      <c r="W62" s="20">
        <f>+COUNT('Current prices, 1913 borders'!L62:S62)</f>
        <v>6</v>
      </c>
      <c r="X62" s="20"/>
      <c r="Y62" s="20">
        <f>+COUNT('Constant prices, current border'!B62:I62)</f>
        <v>6</v>
      </c>
      <c r="Z62" s="20">
        <f>+COUNT('Constant prices, current border'!L62:S62)</f>
        <v>6</v>
      </c>
      <c r="AA62" s="20"/>
      <c r="AB62" s="20">
        <f>+COUNT('Constant prices, 1913 borders'!B62:I62)</f>
        <v>6</v>
      </c>
      <c r="AC62" s="20">
        <f>+COUNT('Constant prices, 1913 borders'!L62:S62)</f>
        <v>6</v>
      </c>
    </row>
    <row r="63" spans="1:29" x14ac:dyDescent="0.25">
      <c r="A63">
        <v>1856</v>
      </c>
      <c r="B63" s="21">
        <f>+SUM('Current prices, current borders'!B63:I63)</f>
        <v>86.620633967591516</v>
      </c>
      <c r="C63" s="21"/>
      <c r="D63" s="21">
        <f>+SUM('Current prices, current borders'!L63:S63)</f>
        <v>80.275698438326415</v>
      </c>
      <c r="E63" s="21"/>
      <c r="F63" s="21">
        <f>+SUM('Current prices, 1913 borders'!B63:I63)</f>
        <v>85.962633967591515</v>
      </c>
      <c r="G63" s="21"/>
      <c r="H63" s="21">
        <f>+SUM('Current prices, 1913 borders'!L63:S63)</f>
        <v>79.921097048978083</v>
      </c>
      <c r="I63" s="21"/>
      <c r="J63" s="21">
        <f>+SUM('Constant prices, current border'!B63:I63)</f>
        <v>64.357833423726433</v>
      </c>
      <c r="K63" s="21"/>
      <c r="L63" s="21">
        <f>+SUM('Constant prices, current border'!L63:S63)</f>
        <v>72.378641714000111</v>
      </c>
      <c r="M63" s="21"/>
      <c r="N63" s="21">
        <f>+SUM('Constant prices, 1913 borders'!B63:I63)</f>
        <v>64.000676202728016</v>
      </c>
      <c r="O63" s="21"/>
      <c r="P63" s="21">
        <f>+SUM('Constant prices, 1913 borders'!L63:S63)</f>
        <v>72.21614266628832</v>
      </c>
      <c r="Q63" s="3"/>
      <c r="R63" s="3"/>
      <c r="S63" s="20">
        <f>+COUNT('Current prices, current borders'!B63:I63)</f>
        <v>6</v>
      </c>
      <c r="T63" s="20">
        <f>+COUNT('Current prices, current borders'!L63:S63)</f>
        <v>6</v>
      </c>
      <c r="U63" s="20"/>
      <c r="V63" s="20">
        <f>+COUNT('Current prices, 1913 borders'!B63:I63)</f>
        <v>6</v>
      </c>
      <c r="W63" s="20">
        <f>+COUNT('Current prices, 1913 borders'!L63:S63)</f>
        <v>6</v>
      </c>
      <c r="X63" s="20"/>
      <c r="Y63" s="20">
        <f>+COUNT('Constant prices, current border'!B63:I63)</f>
        <v>6</v>
      </c>
      <c r="Z63" s="20">
        <f>+COUNT('Constant prices, current border'!L63:S63)</f>
        <v>6</v>
      </c>
      <c r="AA63" s="20"/>
      <c r="AB63" s="20">
        <f>+COUNT('Constant prices, 1913 borders'!B63:I63)</f>
        <v>6</v>
      </c>
      <c r="AC63" s="20">
        <f>+COUNT('Constant prices, 1913 borders'!L63:S63)</f>
        <v>6</v>
      </c>
    </row>
    <row r="64" spans="1:29" x14ac:dyDescent="0.25">
      <c r="A64">
        <v>1857</v>
      </c>
      <c r="B64" s="21">
        <f>+SUM('Current prices, current borders'!B64:I64)</f>
        <v>97.51083729374119</v>
      </c>
      <c r="C64" s="21"/>
      <c r="D64" s="21">
        <f>+SUM('Current prices, current borders'!L64:S64)</f>
        <v>78.939063053780629</v>
      </c>
      <c r="E64" s="21"/>
      <c r="F64" s="21">
        <f>+SUM('Current prices, 1913 borders'!B64:I64)</f>
        <v>96.76383729374119</v>
      </c>
      <c r="G64" s="21"/>
      <c r="H64" s="21">
        <f>+SUM('Current prices, 1913 borders'!L64:S64)</f>
        <v>78.476111239909201</v>
      </c>
      <c r="I64" s="21"/>
      <c r="J64" s="21">
        <f>+SUM('Constant prices, current border'!B64:I64)</f>
        <v>77.124727433489696</v>
      </c>
      <c r="K64" s="21"/>
      <c r="L64" s="21">
        <f>+SUM('Constant prices, current border'!L64:S64)</f>
        <v>65.689003260047826</v>
      </c>
      <c r="M64" s="21"/>
      <c r="N64" s="21">
        <f>+SUM('Constant prices, 1913 borders'!B64:I64)</f>
        <v>76.675484749372885</v>
      </c>
      <c r="O64" s="21"/>
      <c r="P64" s="21">
        <f>+SUM('Constant prices, 1913 borders'!L64:S64)</f>
        <v>65.522702383940839</v>
      </c>
      <c r="Q64" s="3"/>
      <c r="R64" s="3"/>
      <c r="S64" s="20">
        <f>+COUNT('Current prices, current borders'!B64:I64)</f>
        <v>6</v>
      </c>
      <c r="T64" s="20">
        <f>+COUNT('Current prices, current borders'!L64:S64)</f>
        <v>6</v>
      </c>
      <c r="U64" s="20"/>
      <c r="V64" s="20">
        <f>+COUNT('Current prices, 1913 borders'!B64:I64)</f>
        <v>6</v>
      </c>
      <c r="W64" s="20">
        <f>+COUNT('Current prices, 1913 borders'!L64:S64)</f>
        <v>6</v>
      </c>
      <c r="X64" s="20"/>
      <c r="Y64" s="20">
        <f>+COUNT('Constant prices, current border'!B64:I64)</f>
        <v>6</v>
      </c>
      <c r="Z64" s="20">
        <f>+COUNT('Constant prices, current border'!L64:S64)</f>
        <v>6</v>
      </c>
      <c r="AA64" s="20"/>
      <c r="AB64" s="20">
        <f>+COUNT('Constant prices, 1913 borders'!B64:I64)</f>
        <v>6</v>
      </c>
      <c r="AC64" s="20">
        <f>+COUNT('Constant prices, 1913 borders'!L64:S64)</f>
        <v>6</v>
      </c>
    </row>
    <row r="65" spans="1:29" x14ac:dyDescent="0.25">
      <c r="A65">
        <v>1858</v>
      </c>
      <c r="B65" s="21">
        <f>+SUM('Current prices, current borders'!B65:I65)</f>
        <v>94.029906044182894</v>
      </c>
      <c r="C65" s="21"/>
      <c r="D65" s="21">
        <f>+SUM('Current prices, current borders'!L65:S65)</f>
        <v>73.907656817363716</v>
      </c>
      <c r="E65" s="21"/>
      <c r="F65" s="21">
        <f>+SUM('Current prices, 1913 borders'!B65:I65)</f>
        <v>93.277906044182885</v>
      </c>
      <c r="G65" s="21"/>
      <c r="H65" s="21">
        <f>+SUM('Current prices, 1913 borders'!L65:S65)</f>
        <v>73.352114640718</v>
      </c>
      <c r="I65" s="21"/>
      <c r="J65" s="21">
        <f>+SUM('Constant prices, current border'!B65:I65)</f>
        <v>83.302762803568143</v>
      </c>
      <c r="K65" s="21"/>
      <c r="L65" s="21">
        <f>+SUM('Constant prices, current border'!L65:S65)</f>
        <v>74.704438546031312</v>
      </c>
      <c r="M65" s="21"/>
      <c r="N65" s="21">
        <f>+SUM('Constant prices, 1913 borders'!B65:I65)</f>
        <v>82.801261912548583</v>
      </c>
      <c r="O65" s="21"/>
      <c r="P65" s="21">
        <f>+SUM('Constant prices, 1913 borders'!L65:S65)</f>
        <v>74.450233528451065</v>
      </c>
      <c r="Q65" s="3"/>
      <c r="R65" s="3"/>
      <c r="S65" s="20">
        <f>+COUNT('Current prices, current borders'!B65:I65)</f>
        <v>6</v>
      </c>
      <c r="T65" s="20">
        <f>+COUNT('Current prices, current borders'!L65:S65)</f>
        <v>6</v>
      </c>
      <c r="U65" s="20"/>
      <c r="V65" s="20">
        <f>+COUNT('Current prices, 1913 borders'!B65:I65)</f>
        <v>6</v>
      </c>
      <c r="W65" s="20">
        <f>+COUNT('Current prices, 1913 borders'!L65:S65)</f>
        <v>6</v>
      </c>
      <c r="X65" s="20"/>
      <c r="Y65" s="20">
        <f>+COUNT('Constant prices, current border'!B65:I65)</f>
        <v>6</v>
      </c>
      <c r="Z65" s="20">
        <f>+COUNT('Constant prices, current border'!L65:S65)</f>
        <v>6</v>
      </c>
      <c r="AA65" s="20"/>
      <c r="AB65" s="20">
        <f>+COUNT('Constant prices, 1913 borders'!B65:I65)</f>
        <v>6</v>
      </c>
      <c r="AC65" s="20">
        <f>+COUNT('Constant prices, 1913 borders'!L65:S65)</f>
        <v>6</v>
      </c>
    </row>
    <row r="66" spans="1:29" x14ac:dyDescent="0.25">
      <c r="A66">
        <v>1859</v>
      </c>
      <c r="B66" s="21">
        <f>+SUM('Current prices, current borders'!B66:I66)</f>
        <v>111.20751131005403</v>
      </c>
      <c r="C66" s="21"/>
      <c r="D66" s="21">
        <f>+SUM('Current prices, current borders'!L66:S66)</f>
        <v>86.721665647528297</v>
      </c>
      <c r="E66" s="21"/>
      <c r="F66" s="21">
        <f>+SUM('Current prices, 1913 borders'!B66:I66)</f>
        <v>110.21351131005403</v>
      </c>
      <c r="G66" s="21"/>
      <c r="H66" s="21">
        <f>+SUM('Current prices, 1913 borders'!L66:S66)</f>
        <v>85.992762791645632</v>
      </c>
      <c r="I66" s="21"/>
      <c r="J66" s="21">
        <f>+SUM('Constant prices, current border'!B66:I66)</f>
        <v>87.94330354411359</v>
      </c>
      <c r="K66" s="21"/>
      <c r="L66" s="21">
        <f>+SUM('Constant prices, current border'!L66:S66)</f>
        <v>78.675124268360406</v>
      </c>
      <c r="M66" s="21"/>
      <c r="N66" s="21">
        <f>+SUM('Constant prices, 1913 borders'!B66:I66)</f>
        <v>87.320054389682298</v>
      </c>
      <c r="O66" s="21"/>
      <c r="P66" s="21">
        <f>+SUM('Constant prices, 1913 borders'!L66:S66)</f>
        <v>78.340200859293731</v>
      </c>
      <c r="Q66" s="3"/>
      <c r="R66" s="3"/>
      <c r="S66" s="20">
        <f>+COUNT('Current prices, current borders'!B66:I66)</f>
        <v>6</v>
      </c>
      <c r="T66" s="20">
        <f>+COUNT('Current prices, current borders'!L66:S66)</f>
        <v>6</v>
      </c>
      <c r="U66" s="20"/>
      <c r="V66" s="20">
        <f>+COUNT('Current prices, 1913 borders'!B66:I66)</f>
        <v>6</v>
      </c>
      <c r="W66" s="20">
        <f>+COUNT('Current prices, 1913 borders'!L66:S66)</f>
        <v>6</v>
      </c>
      <c r="X66" s="20"/>
      <c r="Y66" s="20">
        <f>+COUNT('Constant prices, current border'!B66:I66)</f>
        <v>6</v>
      </c>
      <c r="Z66" s="20">
        <f>+COUNT('Constant prices, current border'!L66:S66)</f>
        <v>6</v>
      </c>
      <c r="AA66" s="20"/>
      <c r="AB66" s="20">
        <f>+COUNT('Constant prices, 1913 borders'!B66:I66)</f>
        <v>6</v>
      </c>
      <c r="AC66" s="20">
        <f>+COUNT('Constant prices, 1913 borders'!L66:S66)</f>
        <v>6</v>
      </c>
    </row>
    <row r="67" spans="1:29" x14ac:dyDescent="0.25">
      <c r="A67">
        <v>1860</v>
      </c>
      <c r="B67" s="21">
        <f>+SUM('Current prices, current borders'!B67:I67)</f>
        <v>104.91941370342921</v>
      </c>
      <c r="C67" s="21"/>
      <c r="D67" s="21">
        <f>+SUM('Current prices, current borders'!L67:S67)</f>
        <v>77.66243349366971</v>
      </c>
      <c r="E67" s="21"/>
      <c r="F67" s="21">
        <f>+SUM('Current prices, 1913 borders'!B67:I67)</f>
        <v>104.04341370342921</v>
      </c>
      <c r="G67" s="21"/>
      <c r="H67" s="21">
        <f>+SUM('Current prices, 1913 borders'!L67:S67)</f>
        <v>76.995585880922988</v>
      </c>
      <c r="I67" s="21"/>
      <c r="J67" s="21">
        <f>+SUM('Constant prices, current border'!B67:I67)</f>
        <v>81.788262603939614</v>
      </c>
      <c r="K67" s="21"/>
      <c r="L67" s="21">
        <f>+SUM('Constant prices, current border'!L67:S67)</f>
        <v>67.790671646922121</v>
      </c>
      <c r="M67" s="21"/>
      <c r="N67" s="21">
        <f>+SUM('Constant prices, 1913 borders'!B67:I67)</f>
        <v>81.257274606928362</v>
      </c>
      <c r="O67" s="21"/>
      <c r="P67" s="21">
        <f>+SUM('Constant prices, 1913 borders'!L67:S67)</f>
        <v>67.486979211956807</v>
      </c>
      <c r="Q67" s="3"/>
      <c r="R67" s="3"/>
      <c r="S67" s="20">
        <f>+COUNT('Current prices, current borders'!B67:I67)</f>
        <v>6</v>
      </c>
      <c r="T67" s="20">
        <f>+COUNT('Current prices, current borders'!L67:S67)</f>
        <v>6</v>
      </c>
      <c r="U67" s="20"/>
      <c r="V67" s="20">
        <f>+COUNT('Current prices, 1913 borders'!B67:I67)</f>
        <v>6</v>
      </c>
      <c r="W67" s="20">
        <f>+COUNT('Current prices, 1913 borders'!L67:S67)</f>
        <v>6</v>
      </c>
      <c r="X67" s="20"/>
      <c r="Y67" s="20">
        <f>+COUNT('Constant prices, current border'!B67:I67)</f>
        <v>6</v>
      </c>
      <c r="Z67" s="20">
        <f>+COUNT('Constant prices, current border'!L67:S67)</f>
        <v>6</v>
      </c>
      <c r="AA67" s="20"/>
      <c r="AB67" s="20">
        <f>+COUNT('Constant prices, 1913 borders'!B67:I67)</f>
        <v>6</v>
      </c>
      <c r="AC67" s="20">
        <f>+COUNT('Constant prices, 1913 borders'!L67:S67)</f>
        <v>6</v>
      </c>
    </row>
    <row r="68" spans="1:29" x14ac:dyDescent="0.25">
      <c r="A68">
        <v>1861</v>
      </c>
      <c r="B68" s="21">
        <f>+SUM('Current prices, current borders'!B68:I68)</f>
        <v>94.718661021213975</v>
      </c>
      <c r="C68" s="21"/>
      <c r="D68" s="21">
        <f>+SUM('Current prices, current borders'!L68:S68)</f>
        <v>87.234234922992329</v>
      </c>
      <c r="E68" s="21"/>
      <c r="F68" s="21">
        <f>+SUM('Current prices, 1913 borders'!B68:I68)</f>
        <v>94.193661021213984</v>
      </c>
      <c r="G68" s="21"/>
      <c r="H68" s="21">
        <f>+SUM('Current prices, 1913 borders'!L68:S68)</f>
        <v>86.656037657582687</v>
      </c>
      <c r="I68" s="21"/>
      <c r="J68" s="21">
        <f>+SUM('Constant prices, current border'!B68:I68)</f>
        <v>79.219618357989205</v>
      </c>
      <c r="K68" s="21"/>
      <c r="L68" s="21">
        <f>+SUM('Constant prices, current border'!L68:S68)</f>
        <v>79.248879591253456</v>
      </c>
      <c r="M68" s="21"/>
      <c r="N68" s="21">
        <f>+SUM('Constant prices, 1913 borders'!B68:I68)</f>
        <v>78.903808136175314</v>
      </c>
      <c r="O68" s="21"/>
      <c r="P68" s="21">
        <f>+SUM('Constant prices, 1913 borders'!L68:S68)</f>
        <v>78.934238357644659</v>
      </c>
      <c r="Q68" s="3"/>
      <c r="R68" s="6"/>
      <c r="S68" s="20">
        <f>+COUNT('Current prices, current borders'!B68:I68)</f>
        <v>6</v>
      </c>
      <c r="T68" s="20">
        <f>+COUNT('Current prices, current borders'!L68:S68)</f>
        <v>6</v>
      </c>
      <c r="U68" s="20"/>
      <c r="V68" s="20">
        <f>+COUNT('Current prices, 1913 borders'!B68:I68)</f>
        <v>6</v>
      </c>
      <c r="W68" s="20">
        <f>+COUNT('Current prices, 1913 borders'!L68:S68)</f>
        <v>6</v>
      </c>
      <c r="X68" s="20"/>
      <c r="Y68" s="20">
        <f>+COUNT('Constant prices, current border'!B68:I68)</f>
        <v>6</v>
      </c>
      <c r="Z68" s="20">
        <f>+COUNT('Constant prices, current border'!L68:S68)</f>
        <v>6</v>
      </c>
      <c r="AA68" s="20"/>
      <c r="AB68" s="20">
        <f>+COUNT('Constant prices, 1913 borders'!B68:I68)</f>
        <v>6</v>
      </c>
      <c r="AC68" s="20">
        <f>+COUNT('Constant prices, 1913 borders'!L68:S68)</f>
        <v>6</v>
      </c>
    </row>
    <row r="69" spans="1:29" x14ac:dyDescent="0.25">
      <c r="A69">
        <v>1862</v>
      </c>
      <c r="B69" s="21">
        <f>+SUM('Current prices, current borders'!B69:I69)</f>
        <v>119.19933168758445</v>
      </c>
      <c r="C69" s="21"/>
      <c r="D69" s="21">
        <f>+SUM('Current prices, current borders'!L69:S69)</f>
        <v>95.692477431912394</v>
      </c>
      <c r="E69" s="21"/>
      <c r="F69" s="21">
        <f>+SUM('Current prices, 1913 borders'!B69:I69)</f>
        <v>118.62233168758445</v>
      </c>
      <c r="G69" s="21"/>
      <c r="H69" s="21">
        <f>+SUM('Current prices, 1913 borders'!L69:S69)</f>
        <v>94.919249402361174</v>
      </c>
      <c r="I69" s="21"/>
      <c r="J69" s="21">
        <f>+SUM('Constant prices, current border'!B69:I69)</f>
        <v>102.70968653459184</v>
      </c>
      <c r="K69" s="21"/>
      <c r="L69" s="21">
        <f>+SUM('Constant prices, current border'!L69:S69)</f>
        <v>88.974454587313573</v>
      </c>
      <c r="M69" s="21"/>
      <c r="N69" s="21">
        <f>+SUM('Constant prices, 1913 borders'!B69:I69)</f>
        <v>102.36261427179002</v>
      </c>
      <c r="O69" s="21"/>
      <c r="P69" s="21">
        <f>+SUM('Constant prices, 1913 borders'!L69:S69)</f>
        <v>88.502326614023275</v>
      </c>
      <c r="Q69" s="3"/>
      <c r="R69" s="6"/>
      <c r="S69" s="20">
        <f>+COUNT('Current prices, current borders'!B69:I69)</f>
        <v>6</v>
      </c>
      <c r="T69" s="20">
        <f>+COUNT('Current prices, current borders'!L69:S69)</f>
        <v>6</v>
      </c>
      <c r="U69" s="20"/>
      <c r="V69" s="20">
        <f>+COUNT('Current prices, 1913 borders'!B69:I69)</f>
        <v>6</v>
      </c>
      <c r="W69" s="20">
        <f>+COUNT('Current prices, 1913 borders'!L69:S69)</f>
        <v>6</v>
      </c>
      <c r="X69" s="20"/>
      <c r="Y69" s="20">
        <f>+COUNT('Constant prices, current border'!B69:I69)</f>
        <v>6</v>
      </c>
      <c r="Z69" s="20">
        <f>+COUNT('Constant prices, current border'!L69:S69)</f>
        <v>6</v>
      </c>
      <c r="AA69" s="20"/>
      <c r="AB69" s="20">
        <f>+COUNT('Constant prices, 1913 borders'!B69:I69)</f>
        <v>6</v>
      </c>
      <c r="AC69" s="20">
        <f>+COUNT('Constant prices, 1913 borders'!L69:S69)</f>
        <v>6</v>
      </c>
    </row>
    <row r="70" spans="1:29" x14ac:dyDescent="0.25">
      <c r="A70">
        <v>1863</v>
      </c>
      <c r="B70" s="21">
        <f>+SUM('Current prices, current borders'!B70:I70)</f>
        <v>134.15529684194649</v>
      </c>
      <c r="C70" s="21"/>
      <c r="D70" s="21">
        <f>+SUM('Current prices, current borders'!L70:S70)</f>
        <v>106.9584798047652</v>
      </c>
      <c r="E70" s="21"/>
      <c r="F70" s="21">
        <f>+SUM('Current prices, 1913 borders'!B70:I70)</f>
        <v>133.54729684194649</v>
      </c>
      <c r="G70" s="21"/>
      <c r="H70" s="21">
        <f>+SUM('Current prices, 1913 borders'!L70:S70)</f>
        <v>106.01287609983633</v>
      </c>
      <c r="I70" s="21"/>
      <c r="J70" s="21">
        <f>+SUM('Constant prices, current border'!B70:I70)</f>
        <v>123.10564924416424</v>
      </c>
      <c r="K70" s="21"/>
      <c r="L70" s="21">
        <f>+SUM('Constant prices, current border'!L70:S70)</f>
        <v>109.84502317979747</v>
      </c>
      <c r="M70" s="21"/>
      <c r="N70" s="21">
        <f>+SUM('Constant prices, 1913 borders'!B70:I70)</f>
        <v>122.75080335040461</v>
      </c>
      <c r="O70" s="21"/>
      <c r="P70" s="21">
        <f>+SUM('Constant prices, 1913 borders'!L70:S70)</f>
        <v>109.2842356845151</v>
      </c>
      <c r="Q70" s="3"/>
      <c r="R70" s="6"/>
      <c r="S70" s="20">
        <f>+COUNT('Current prices, current borders'!B70:I70)</f>
        <v>6</v>
      </c>
      <c r="T70" s="20">
        <f>+COUNT('Current prices, current borders'!L70:S70)</f>
        <v>6</v>
      </c>
      <c r="U70" s="20"/>
      <c r="V70" s="20">
        <f>+COUNT('Current prices, 1913 borders'!B70:I70)</f>
        <v>6</v>
      </c>
      <c r="W70" s="20">
        <f>+COUNT('Current prices, 1913 borders'!L70:S70)</f>
        <v>6</v>
      </c>
      <c r="X70" s="20"/>
      <c r="Y70" s="20">
        <f>+COUNT('Constant prices, current border'!B70:I70)</f>
        <v>6</v>
      </c>
      <c r="Z70" s="20">
        <f>+COUNT('Constant prices, current border'!L70:S70)</f>
        <v>6</v>
      </c>
      <c r="AA70" s="20"/>
      <c r="AB70" s="20">
        <f>+COUNT('Constant prices, 1913 borders'!B70:I70)</f>
        <v>6</v>
      </c>
      <c r="AC70" s="20">
        <f>+COUNT('Constant prices, 1913 borders'!L70:S70)</f>
        <v>6</v>
      </c>
    </row>
    <row r="71" spans="1:29" x14ac:dyDescent="0.25">
      <c r="A71">
        <v>1864</v>
      </c>
      <c r="B71" s="21">
        <f>+SUM('Current prices, current borders'!B71:I71)</f>
        <v>132.11842229789144</v>
      </c>
      <c r="C71" s="21"/>
      <c r="D71" s="21">
        <f>+SUM('Current prices, current borders'!L71:S71)</f>
        <v>105.85603227258279</v>
      </c>
      <c r="E71" s="21"/>
      <c r="F71" s="21">
        <f>+SUM('Current prices, 1913 borders'!B71:I71)</f>
        <v>131.14342229789145</v>
      </c>
      <c r="G71" s="21"/>
      <c r="H71" s="21">
        <f>+SUM('Current prices, 1913 borders'!L71:S71)</f>
        <v>104.3598114103047</v>
      </c>
      <c r="I71" s="21"/>
      <c r="J71" s="21">
        <f>+SUM('Constant prices, current border'!B71:I71)</f>
        <v>125.46850712706569</v>
      </c>
      <c r="K71" s="21"/>
      <c r="L71" s="21">
        <f>+SUM('Constant prices, current border'!L71:S71)</f>
        <v>90.970170392456509</v>
      </c>
      <c r="M71" s="21"/>
      <c r="N71" s="21">
        <f>+SUM('Constant prices, 1913 borders'!B71:I71)</f>
        <v>124.88852021778973</v>
      </c>
      <c r="O71" s="21"/>
      <c r="P71" s="21">
        <f>+SUM('Constant prices, 1913 borders'!L71:S71)</f>
        <v>90.18469742768751</v>
      </c>
      <c r="Q71" s="3"/>
      <c r="R71" s="6"/>
      <c r="S71" s="20">
        <f>+COUNT('Current prices, current borders'!B71:I71)</f>
        <v>6</v>
      </c>
      <c r="T71" s="20">
        <f>+COUNT('Current prices, current borders'!L71:S71)</f>
        <v>6</v>
      </c>
      <c r="U71" s="20"/>
      <c r="V71" s="20">
        <f>+COUNT('Current prices, 1913 borders'!B71:I71)</f>
        <v>6</v>
      </c>
      <c r="W71" s="20">
        <f>+COUNT('Current prices, 1913 borders'!L71:S71)</f>
        <v>6</v>
      </c>
      <c r="X71" s="20"/>
      <c r="Y71" s="20">
        <f>+COUNT('Constant prices, current border'!B71:I71)</f>
        <v>6</v>
      </c>
      <c r="Z71" s="20">
        <f>+COUNT('Constant prices, current border'!L71:S71)</f>
        <v>6</v>
      </c>
      <c r="AA71" s="20"/>
      <c r="AB71" s="20">
        <f>+COUNT('Constant prices, 1913 borders'!B71:I71)</f>
        <v>6</v>
      </c>
      <c r="AC71" s="20">
        <f>+COUNT('Constant prices, 1913 borders'!L71:S71)</f>
        <v>6</v>
      </c>
    </row>
    <row r="72" spans="1:29" x14ac:dyDescent="0.25">
      <c r="A72">
        <v>1865</v>
      </c>
      <c r="B72" s="21">
        <f>+SUM('Current prices, current borders'!B72:I72)</f>
        <v>126.75336241392492</v>
      </c>
      <c r="C72" s="21"/>
      <c r="D72" s="21">
        <f>+SUM('Current prices, current borders'!L72:S72)</f>
        <v>111.06016820640377</v>
      </c>
      <c r="E72" s="21"/>
      <c r="F72" s="21">
        <f>+SUM('Current prices, 1913 borders'!B72:I72)</f>
        <v>125.66136241392492</v>
      </c>
      <c r="G72" s="21"/>
      <c r="H72" s="21">
        <f>+SUM('Current prices, 1913 borders'!L72:S72)</f>
        <v>109.3689165799841</v>
      </c>
      <c r="I72" s="21"/>
      <c r="J72" s="21">
        <f>+SUM('Constant prices, current border'!B72:I72)</f>
        <v>121.03377193218044</v>
      </c>
      <c r="K72" s="21"/>
      <c r="L72" s="21">
        <f>+SUM('Constant prices, current border'!L72:S72)</f>
        <v>96.956786681327955</v>
      </c>
      <c r="M72" s="21"/>
      <c r="N72" s="21">
        <f>+SUM('Constant prices, 1913 borders'!B72:I72)</f>
        <v>120.35314051542198</v>
      </c>
      <c r="O72" s="21"/>
      <c r="P72" s="21">
        <f>+SUM('Constant prices, 1913 borders'!L72:S72)</f>
        <v>95.851426630080724</v>
      </c>
      <c r="Q72" s="3"/>
      <c r="R72" s="6"/>
      <c r="S72" s="20">
        <f>+COUNT('Current prices, current borders'!B72:I72)</f>
        <v>6</v>
      </c>
      <c r="T72" s="20">
        <f>+COUNT('Current prices, current borders'!L72:S72)</f>
        <v>6</v>
      </c>
      <c r="U72" s="20"/>
      <c r="V72" s="20">
        <f>+COUNT('Current prices, 1913 borders'!B72:I72)</f>
        <v>6</v>
      </c>
      <c r="W72" s="20">
        <f>+COUNT('Current prices, 1913 borders'!L72:S72)</f>
        <v>6</v>
      </c>
      <c r="X72" s="20"/>
      <c r="Y72" s="20">
        <f>+COUNT('Constant prices, current border'!B72:I72)</f>
        <v>6</v>
      </c>
      <c r="Z72" s="20">
        <f>+COUNT('Constant prices, current border'!L72:S72)</f>
        <v>6</v>
      </c>
      <c r="AA72" s="20"/>
      <c r="AB72" s="20">
        <f>+COUNT('Constant prices, 1913 borders'!B72:I72)</f>
        <v>6</v>
      </c>
      <c r="AC72" s="20">
        <f>+COUNT('Constant prices, 1913 borders'!L72:S72)</f>
        <v>6</v>
      </c>
    </row>
    <row r="73" spans="1:29" x14ac:dyDescent="0.25">
      <c r="A73">
        <v>1866</v>
      </c>
      <c r="B73" s="21">
        <f>+SUM('Current prices, current borders'!B73:I73)</f>
        <v>131.35304688330473</v>
      </c>
      <c r="C73" s="21"/>
      <c r="D73" s="21">
        <f>+SUM('Current prices, current borders'!L73:S73)</f>
        <v>113.41506805654647</v>
      </c>
      <c r="E73" s="21"/>
      <c r="F73" s="21">
        <f>+SUM('Current prices, 1913 borders'!B73:I73)</f>
        <v>130.07604688330471</v>
      </c>
      <c r="G73" s="21"/>
      <c r="H73" s="21">
        <f>+SUM('Current prices, 1913 borders'!L73:S73)</f>
        <v>111.58788589754327</v>
      </c>
      <c r="I73" s="21"/>
      <c r="J73" s="21">
        <f>+SUM('Constant prices, current border'!B73:I73)</f>
        <v>112.3602603132238</v>
      </c>
      <c r="K73" s="21"/>
      <c r="L73" s="21">
        <f>+SUM('Constant prices, current border'!L73:S73)</f>
        <v>109.97635494259836</v>
      </c>
      <c r="M73" s="21"/>
      <c r="N73" s="21">
        <f>+SUM('Constant prices, 1913 borders'!B73:I73)</f>
        <v>111.58950914726111</v>
      </c>
      <c r="O73" s="21"/>
      <c r="P73" s="21">
        <f>+SUM('Constant prices, 1913 borders'!L73:S73)</f>
        <v>108.73459344716233</v>
      </c>
      <c r="Q73" s="3"/>
      <c r="R73" s="6"/>
      <c r="S73" s="20">
        <f>+COUNT('Current prices, current borders'!B73:I73)</f>
        <v>6</v>
      </c>
      <c r="T73" s="20">
        <f>+COUNT('Current prices, current borders'!L73:S73)</f>
        <v>6</v>
      </c>
      <c r="U73" s="20"/>
      <c r="V73" s="20">
        <f>+COUNT('Current prices, 1913 borders'!B73:I73)</f>
        <v>6</v>
      </c>
      <c r="W73" s="20">
        <f>+COUNT('Current prices, 1913 borders'!L73:S73)</f>
        <v>6</v>
      </c>
      <c r="X73" s="20"/>
      <c r="Y73" s="20">
        <f>+COUNT('Constant prices, current border'!B73:I73)</f>
        <v>6</v>
      </c>
      <c r="Z73" s="20">
        <f>+COUNT('Constant prices, current border'!L73:S73)</f>
        <v>6</v>
      </c>
      <c r="AA73" s="20"/>
      <c r="AB73" s="20">
        <f>+COUNT('Constant prices, 1913 borders'!B73:I73)</f>
        <v>6</v>
      </c>
      <c r="AC73" s="20">
        <f>+COUNT('Constant prices, 1913 borders'!L73:S73)</f>
        <v>6</v>
      </c>
    </row>
    <row r="74" spans="1:29" x14ac:dyDescent="0.25">
      <c r="A74">
        <v>1867</v>
      </c>
      <c r="B74" s="21">
        <f>+SUM('Current prices, current borders'!B74:I74)</f>
        <v>104.12380412280538</v>
      </c>
      <c r="C74" s="21"/>
      <c r="D74" s="21">
        <f>+SUM('Current prices, current borders'!L74:S74)</f>
        <v>109.26932573924277</v>
      </c>
      <c r="E74" s="21"/>
      <c r="F74" s="21">
        <f>+SUM('Current prices, 1913 borders'!B74:I74)</f>
        <v>102.9188041228054</v>
      </c>
      <c r="G74" s="21"/>
      <c r="H74" s="21">
        <f>+SUM('Current prices, 1913 borders'!L74:S74)</f>
        <v>107.70218459909502</v>
      </c>
      <c r="I74" s="21"/>
      <c r="J74" s="21">
        <f>+SUM('Constant prices, current border'!B74:I74)</f>
        <v>82.331230871370053</v>
      </c>
      <c r="K74" s="21"/>
      <c r="L74" s="21">
        <f>+SUM('Constant prices, current border'!L74:S74)</f>
        <v>109.68942345176234</v>
      </c>
      <c r="M74" s="21"/>
      <c r="N74" s="21">
        <f>+SUM('Constant prices, 1913 borders'!B74:I74)</f>
        <v>81.626077107061832</v>
      </c>
      <c r="O74" s="21"/>
      <c r="P74" s="21">
        <f>+SUM('Constant prices, 1913 borders'!L74:S74)</f>
        <v>108.71084604585927</v>
      </c>
      <c r="Q74" s="3"/>
      <c r="R74" s="6"/>
      <c r="S74" s="20">
        <f>+COUNT('Current prices, current borders'!B74:I74)</f>
        <v>6</v>
      </c>
      <c r="T74" s="20">
        <f>+COUNT('Current prices, current borders'!L74:S74)</f>
        <v>6</v>
      </c>
      <c r="U74" s="20"/>
      <c r="V74" s="20">
        <f>+COUNT('Current prices, 1913 borders'!B74:I74)</f>
        <v>6</v>
      </c>
      <c r="W74" s="20">
        <f>+COUNT('Current prices, 1913 borders'!L74:S74)</f>
        <v>6</v>
      </c>
      <c r="X74" s="20"/>
      <c r="Y74" s="20">
        <f>+COUNT('Constant prices, current border'!B74:I74)</f>
        <v>6</v>
      </c>
      <c r="Z74" s="20">
        <f>+COUNT('Constant prices, current border'!L74:S74)</f>
        <v>6</v>
      </c>
      <c r="AA74" s="20"/>
      <c r="AB74" s="20">
        <f>+COUNT('Constant prices, 1913 borders'!B74:I74)</f>
        <v>6</v>
      </c>
      <c r="AC74" s="20">
        <f>+COUNT('Constant prices, 1913 borders'!L74:S74)</f>
        <v>6</v>
      </c>
    </row>
    <row r="75" spans="1:29" x14ac:dyDescent="0.25">
      <c r="A75">
        <v>1868</v>
      </c>
      <c r="B75" s="21">
        <f>+SUM('Current prices, current borders'!B75:I75)</f>
        <v>113.59715695286735</v>
      </c>
      <c r="C75" s="21"/>
      <c r="D75" s="21">
        <f>+SUM('Current prices, current borders'!L75:S75)</f>
        <v>123.47667159599825</v>
      </c>
      <c r="E75" s="21"/>
      <c r="F75" s="21">
        <f>+SUM('Current prices, 1913 borders'!B75:I75)</f>
        <v>112.34115695286737</v>
      </c>
      <c r="G75" s="21"/>
      <c r="H75" s="21">
        <f>+SUM('Current prices, 1913 borders'!L75:S75)</f>
        <v>121.71548469556822</v>
      </c>
      <c r="I75" s="21"/>
      <c r="J75" s="21">
        <f>+SUM('Constant prices, current border'!B75:I75)</f>
        <v>91.701105645196378</v>
      </c>
      <c r="K75" s="21"/>
      <c r="L75" s="21">
        <f>+SUM('Constant prices, current border'!L75:S75)</f>
        <v>127.76248174977206</v>
      </c>
      <c r="M75" s="21"/>
      <c r="N75" s="21">
        <f>+SUM('Constant prices, 1913 borders'!B75:I75)</f>
        <v>90.935709170884778</v>
      </c>
      <c r="O75" s="21"/>
      <c r="P75" s="21">
        <f>+SUM('Constant prices, 1913 borders'!L75:S75)</f>
        <v>126.72644729843498</v>
      </c>
      <c r="Q75" s="3"/>
      <c r="R75" s="6"/>
      <c r="S75" s="20">
        <f>+COUNT('Current prices, current borders'!B75:I75)</f>
        <v>6</v>
      </c>
      <c r="T75" s="20">
        <f>+COUNT('Current prices, current borders'!L75:S75)</f>
        <v>6</v>
      </c>
      <c r="U75" s="20"/>
      <c r="V75" s="20">
        <f>+COUNT('Current prices, 1913 borders'!B75:I75)</f>
        <v>6</v>
      </c>
      <c r="W75" s="20">
        <f>+COUNT('Current prices, 1913 borders'!L75:S75)</f>
        <v>6</v>
      </c>
      <c r="X75" s="20"/>
      <c r="Y75" s="20">
        <f>+COUNT('Constant prices, current border'!B75:I75)</f>
        <v>6</v>
      </c>
      <c r="Z75" s="20">
        <f>+COUNT('Constant prices, current border'!L75:S75)</f>
        <v>6</v>
      </c>
      <c r="AA75" s="20"/>
      <c r="AB75" s="20">
        <f>+COUNT('Constant prices, 1913 borders'!B75:I75)</f>
        <v>6</v>
      </c>
      <c r="AC75" s="20">
        <f>+COUNT('Constant prices, 1913 borders'!L75:S75)</f>
        <v>6</v>
      </c>
    </row>
    <row r="76" spans="1:29" x14ac:dyDescent="0.25">
      <c r="A76">
        <v>1869</v>
      </c>
      <c r="B76" s="21">
        <f>+SUM('Current prices, current borders'!B76:I76)</f>
        <v>120.66572007954933</v>
      </c>
      <c r="C76" s="21"/>
      <c r="D76" s="21">
        <f>+SUM('Current prices, current borders'!L76:S76)</f>
        <v>116.20618064298314</v>
      </c>
      <c r="E76" s="21"/>
      <c r="F76" s="21">
        <f>+SUM('Current prices, 1913 borders'!B76:I76)</f>
        <v>119.29772007954932</v>
      </c>
      <c r="G76" s="21"/>
      <c r="H76" s="21">
        <f>+SUM('Current prices, 1913 borders'!L76:S76)</f>
        <v>113.97810191324447</v>
      </c>
      <c r="I76" s="21"/>
      <c r="J76" s="21">
        <f>+SUM('Constant prices, current border'!B76:I76)</f>
        <v>108.45672638739799</v>
      </c>
      <c r="K76" s="21"/>
      <c r="L76" s="21">
        <f>+SUM('Constant prices, current border'!L76:S76)</f>
        <v>125.63927278923998</v>
      </c>
      <c r="M76" s="21"/>
      <c r="N76" s="21">
        <f>+SUM('Constant prices, 1913 borders'!B76:I76)</f>
        <v>107.56890602129729</v>
      </c>
      <c r="O76" s="21"/>
      <c r="P76" s="21">
        <f>+SUM('Constant prices, 1913 borders'!L76:S76)</f>
        <v>124.43846774192461</v>
      </c>
      <c r="Q76" s="3"/>
      <c r="R76" s="6"/>
      <c r="S76" s="20">
        <f>+COUNT('Current prices, current borders'!B76:I76)</f>
        <v>6</v>
      </c>
      <c r="T76" s="20">
        <f>+COUNT('Current prices, current borders'!L76:S76)</f>
        <v>6</v>
      </c>
      <c r="U76" s="20"/>
      <c r="V76" s="20">
        <f>+COUNT('Current prices, 1913 borders'!B76:I76)</f>
        <v>6</v>
      </c>
      <c r="W76" s="20">
        <f>+COUNT('Current prices, 1913 borders'!L76:S76)</f>
        <v>6</v>
      </c>
      <c r="X76" s="20"/>
      <c r="Y76" s="20">
        <f>+COUNT('Constant prices, current border'!B76:I76)</f>
        <v>6</v>
      </c>
      <c r="Z76" s="20">
        <f>+COUNT('Constant prices, current border'!L76:S76)</f>
        <v>6</v>
      </c>
      <c r="AA76" s="20"/>
      <c r="AB76" s="20">
        <f>+COUNT('Constant prices, 1913 borders'!B76:I76)</f>
        <v>6</v>
      </c>
      <c r="AC76" s="20">
        <f>+COUNT('Constant prices, 1913 borders'!L76:S76)</f>
        <v>6</v>
      </c>
    </row>
    <row r="77" spans="1:29" x14ac:dyDescent="0.25">
      <c r="A77">
        <v>1870</v>
      </c>
      <c r="B77" s="21">
        <f>+SUM('Current prices, current borders'!B77:I77)</f>
        <v>109.37249754574607</v>
      </c>
      <c r="C77" s="21"/>
      <c r="D77" s="21">
        <f>+SUM('Current prices, current borders'!L77:S77)</f>
        <v>109.29116801204682</v>
      </c>
      <c r="E77" s="21"/>
      <c r="F77" s="21">
        <f>+SUM('Current prices, 1913 borders'!B77:I77)</f>
        <v>108.08649754574607</v>
      </c>
      <c r="G77" s="21"/>
      <c r="H77" s="21">
        <f>+SUM('Current prices, 1913 borders'!L77:S77)</f>
        <v>107.28767016222875</v>
      </c>
      <c r="I77" s="21"/>
      <c r="J77" s="21">
        <f>+SUM('Constant prices, current border'!B77:I77)</f>
        <v>98.785291841078646</v>
      </c>
      <c r="K77" s="21"/>
      <c r="L77" s="21">
        <f>+SUM('Constant prices, current border'!L77:S77)</f>
        <v>115.795148393991</v>
      </c>
      <c r="M77" s="21"/>
      <c r="N77" s="21">
        <f>+SUM('Constant prices, 1913 borders'!B77:I77)</f>
        <v>97.882730587791173</v>
      </c>
      <c r="O77" s="21"/>
      <c r="P77" s="21">
        <f>+SUM('Constant prices, 1913 borders'!L77:S77)</f>
        <v>114.2850891149327</v>
      </c>
      <c r="Q77" s="3"/>
      <c r="R77" s="6"/>
      <c r="S77" s="20">
        <f>+COUNT('Current prices, current borders'!B77:I77)</f>
        <v>6</v>
      </c>
      <c r="T77" s="20">
        <f>+COUNT('Current prices, current borders'!L77:S77)</f>
        <v>6</v>
      </c>
      <c r="U77" s="20"/>
      <c r="V77" s="20">
        <f>+COUNT('Current prices, 1913 borders'!B77:I77)</f>
        <v>6</v>
      </c>
      <c r="W77" s="20">
        <f>+COUNT('Current prices, 1913 borders'!L77:S77)</f>
        <v>6</v>
      </c>
      <c r="X77" s="20"/>
      <c r="Y77" s="20">
        <f>+COUNT('Constant prices, current border'!B77:I77)</f>
        <v>6</v>
      </c>
      <c r="Z77" s="20">
        <f>+COUNT('Constant prices, current border'!L77:S77)</f>
        <v>6</v>
      </c>
      <c r="AA77" s="20"/>
      <c r="AB77" s="20">
        <f>+COUNT('Constant prices, 1913 borders'!B77:I77)</f>
        <v>6</v>
      </c>
      <c r="AC77" s="20">
        <f>+COUNT('Constant prices, 1913 borders'!L77:S77)</f>
        <v>6</v>
      </c>
    </row>
    <row r="78" spans="1:29" x14ac:dyDescent="0.25">
      <c r="A78">
        <v>1871</v>
      </c>
      <c r="B78" s="21">
        <f>+SUM('Current prices, current borders'!B78:I78)</f>
        <v>101.82897870269142</v>
      </c>
      <c r="C78" s="21"/>
      <c r="D78" s="21">
        <f>+SUM('Current prices, current borders'!L78:S78)</f>
        <v>128.14358186074094</v>
      </c>
      <c r="E78" s="21"/>
      <c r="F78" s="21">
        <f>+SUM('Current prices, 1913 borders'!B78:I78)</f>
        <v>100.68197870269142</v>
      </c>
      <c r="G78" s="21"/>
      <c r="H78" s="21">
        <f>+SUM('Current prices, 1913 borders'!L78:S78)</f>
        <v>126.35481485225048</v>
      </c>
      <c r="I78" s="21"/>
      <c r="J78" s="21">
        <f>+SUM('Constant prices, current border'!B78:I78)</f>
        <v>91.678097023583803</v>
      </c>
      <c r="K78" s="21"/>
      <c r="L78" s="21">
        <f>+SUM('Constant prices, current border'!L78:S78)</f>
        <v>141.12344731875385</v>
      </c>
      <c r="M78" s="21"/>
      <c r="N78" s="21">
        <f>+SUM('Constant prices, 1913 borders'!B78:I78)</f>
        <v>90.876338689353844</v>
      </c>
      <c r="O78" s="21"/>
      <c r="P78" s="21">
        <f>+SUM('Constant prices, 1913 borders'!L78:S78)</f>
        <v>140.12190751210477</v>
      </c>
      <c r="Q78" s="3"/>
      <c r="R78" s="3"/>
      <c r="S78" s="20">
        <f>+COUNT('Current prices, current borders'!B78:I78)</f>
        <v>6</v>
      </c>
      <c r="T78" s="20">
        <f>+COUNT('Current prices, current borders'!L78:S78)</f>
        <v>6</v>
      </c>
      <c r="U78" s="20"/>
      <c r="V78" s="20">
        <f>+COUNT('Current prices, 1913 borders'!B78:I78)</f>
        <v>6</v>
      </c>
      <c r="W78" s="20">
        <f>+COUNT('Current prices, 1913 borders'!L78:S78)</f>
        <v>6</v>
      </c>
      <c r="X78" s="20"/>
      <c r="Y78" s="20">
        <f>+COUNT('Constant prices, current border'!B78:I78)</f>
        <v>6</v>
      </c>
      <c r="Z78" s="20">
        <f>+COUNT('Constant prices, current border'!L78:S78)</f>
        <v>6</v>
      </c>
      <c r="AA78" s="20"/>
      <c r="AB78" s="20">
        <f>+COUNT('Constant prices, 1913 borders'!B78:I78)</f>
        <v>6</v>
      </c>
      <c r="AC78" s="20">
        <f>+COUNT('Constant prices, 1913 borders'!L78:S78)</f>
        <v>6</v>
      </c>
    </row>
    <row r="79" spans="1:29" x14ac:dyDescent="0.25">
      <c r="A79">
        <v>1872</v>
      </c>
      <c r="B79" s="21">
        <f>+SUM('Current prices, current borders'!B79:I79)</f>
        <v>115.85712271134817</v>
      </c>
      <c r="C79" s="21"/>
      <c r="D79" s="21">
        <f>+SUM('Current prices, current borders'!L79:S79)</f>
        <v>130.7280660606659</v>
      </c>
      <c r="E79" s="21"/>
      <c r="F79" s="21">
        <f>+SUM('Current prices, 1913 borders'!B79:I79)</f>
        <v>114.78712271134816</v>
      </c>
      <c r="G79" s="21"/>
      <c r="H79" s="21">
        <f>+SUM('Current prices, 1913 borders'!L79:S79)</f>
        <v>129.19638505945295</v>
      </c>
      <c r="I79" s="21"/>
      <c r="J79" s="21">
        <f>+SUM('Constant prices, current border'!B79:I79)</f>
        <v>98.553639981955044</v>
      </c>
      <c r="K79" s="21"/>
      <c r="L79" s="21">
        <f>+SUM('Constant prices, current border'!L79:S79)</f>
        <v>130.98007786618024</v>
      </c>
      <c r="M79" s="21"/>
      <c r="N79" s="21">
        <f>+SUM('Constant prices, 1913 borders'!B79:I79)</f>
        <v>97.872217636309003</v>
      </c>
      <c r="O79" s="21"/>
      <c r="P79" s="21">
        <f>+SUM('Constant prices, 1913 borders'!L79:S79)</f>
        <v>130.18225174512213</v>
      </c>
      <c r="Q79" s="3"/>
      <c r="R79" s="3"/>
      <c r="S79" s="20">
        <f>+COUNT('Current prices, current borders'!B79:I79)</f>
        <v>6</v>
      </c>
      <c r="T79" s="20">
        <f>+COUNT('Current prices, current borders'!L79:S79)</f>
        <v>6</v>
      </c>
      <c r="U79" s="20"/>
      <c r="V79" s="20">
        <f>+COUNT('Current prices, 1913 borders'!B79:I79)</f>
        <v>6</v>
      </c>
      <c r="W79" s="20">
        <f>+COUNT('Current prices, 1913 borders'!L79:S79)</f>
        <v>6</v>
      </c>
      <c r="X79" s="20"/>
      <c r="Y79" s="20">
        <f>+COUNT('Constant prices, current border'!B79:I79)</f>
        <v>6</v>
      </c>
      <c r="Z79" s="20">
        <f>+COUNT('Constant prices, current border'!L79:S79)</f>
        <v>6</v>
      </c>
      <c r="AA79" s="20"/>
      <c r="AB79" s="20">
        <f>+COUNT('Constant prices, 1913 borders'!B79:I79)</f>
        <v>6</v>
      </c>
      <c r="AC79" s="20">
        <f>+COUNT('Constant prices, 1913 borders'!L79:S79)</f>
        <v>6</v>
      </c>
    </row>
    <row r="80" spans="1:29" x14ac:dyDescent="0.25">
      <c r="A80">
        <v>1873</v>
      </c>
      <c r="B80" s="21">
        <f>+SUM('Current prices, current borders'!B80:I80)</f>
        <v>147.57062728966881</v>
      </c>
      <c r="C80" s="21"/>
      <c r="D80" s="21">
        <f>+SUM('Current prices, current borders'!L80:S80)</f>
        <v>151.38524502676327</v>
      </c>
      <c r="E80" s="21"/>
      <c r="F80" s="21">
        <f>+SUM('Current prices, 1913 borders'!B80:I80)</f>
        <v>146.6706272896688</v>
      </c>
      <c r="G80" s="21"/>
      <c r="H80" s="21">
        <f>+SUM('Current prices, 1913 borders'!L80:S80)</f>
        <v>149.35219706116618</v>
      </c>
      <c r="I80" s="21"/>
      <c r="J80" s="21">
        <f>+SUM('Constant prices, current border'!B80:I80)</f>
        <v>122.25400152026693</v>
      </c>
      <c r="K80" s="21"/>
      <c r="L80" s="21">
        <f>+SUM('Constant prices, current border'!L80:S80)</f>
        <v>150.9046236021367</v>
      </c>
      <c r="M80" s="21"/>
      <c r="N80" s="21">
        <f>+SUM('Constant prices, 1913 borders'!B80:I80)</f>
        <v>121.70954955740845</v>
      </c>
      <c r="O80" s="21"/>
      <c r="P80" s="21">
        <f>+SUM('Constant prices, 1913 borders'!L80:S80)</f>
        <v>149.73454907611853</v>
      </c>
      <c r="Q80" s="3"/>
      <c r="R80" s="3"/>
      <c r="S80" s="20">
        <f>+COUNT('Current prices, current borders'!B80:I80)</f>
        <v>6</v>
      </c>
      <c r="T80" s="20">
        <f>+COUNT('Current prices, current borders'!L80:S80)</f>
        <v>6</v>
      </c>
      <c r="U80" s="20"/>
      <c r="V80" s="20">
        <f>+COUNT('Current prices, 1913 borders'!B80:I80)</f>
        <v>6</v>
      </c>
      <c r="W80" s="20">
        <f>+COUNT('Current prices, 1913 borders'!L80:S80)</f>
        <v>6</v>
      </c>
      <c r="X80" s="20"/>
      <c r="Y80" s="20">
        <f>+COUNT('Constant prices, current border'!B80:I80)</f>
        <v>6</v>
      </c>
      <c r="Z80" s="20">
        <f>+COUNT('Constant prices, current border'!L80:S80)</f>
        <v>6</v>
      </c>
      <c r="AA80" s="20"/>
      <c r="AB80" s="20">
        <f>+COUNT('Constant prices, 1913 borders'!B80:I80)</f>
        <v>6</v>
      </c>
      <c r="AC80" s="20">
        <f>+COUNT('Constant prices, 1913 borders'!L80:S80)</f>
        <v>6</v>
      </c>
    </row>
    <row r="81" spans="1:29" x14ac:dyDescent="0.25">
      <c r="A81">
        <v>1874</v>
      </c>
      <c r="B81" s="21">
        <f>+SUM('Current prices, current borders'!B81:I81)</f>
        <v>154.9733541900124</v>
      </c>
      <c r="C81" s="21"/>
      <c r="D81" s="21">
        <f>+SUM('Current prices, current borders'!L81:S81)</f>
        <v>145.756645375115</v>
      </c>
      <c r="E81" s="21"/>
      <c r="F81" s="21">
        <f>+SUM('Current prices, 1913 borders'!B81:I81)</f>
        <v>154.0693541900124</v>
      </c>
      <c r="G81" s="21"/>
      <c r="H81" s="21">
        <f>+SUM('Current prices, 1913 borders'!L81:S81)</f>
        <v>144.01023353257446</v>
      </c>
      <c r="I81" s="21"/>
      <c r="J81" s="21">
        <f>+SUM('Constant prices, current border'!B81:I81)</f>
        <v>129.59868306491069</v>
      </c>
      <c r="K81" s="21"/>
      <c r="L81" s="21">
        <f>+SUM('Constant prices, current border'!L81:S81)</f>
        <v>143.50527990753153</v>
      </c>
      <c r="M81" s="21"/>
      <c r="N81" s="21">
        <f>+SUM('Constant prices, 1913 borders'!B81:I81)</f>
        <v>129.00411302621708</v>
      </c>
      <c r="O81" s="21"/>
      <c r="P81" s="21">
        <f>+SUM('Constant prices, 1913 borders'!L81:S81)</f>
        <v>142.40556926052903</v>
      </c>
      <c r="Q81" s="3"/>
      <c r="R81" s="3"/>
      <c r="S81" s="20">
        <f>+COUNT('Current prices, current borders'!B81:I81)</f>
        <v>6</v>
      </c>
      <c r="T81" s="20">
        <f>+COUNT('Current prices, current borders'!L81:S81)</f>
        <v>6</v>
      </c>
      <c r="U81" s="20"/>
      <c r="V81" s="20">
        <f>+COUNT('Current prices, 1913 borders'!B81:I81)</f>
        <v>6</v>
      </c>
      <c r="W81" s="20">
        <f>+COUNT('Current prices, 1913 borders'!L81:S81)</f>
        <v>6</v>
      </c>
      <c r="X81" s="20"/>
      <c r="Y81" s="20">
        <f>+COUNT('Constant prices, current border'!B81:I81)</f>
        <v>6</v>
      </c>
      <c r="Z81" s="20">
        <f>+COUNT('Constant prices, current border'!L81:S81)</f>
        <v>6</v>
      </c>
      <c r="AA81" s="20"/>
      <c r="AB81" s="20">
        <f>+COUNT('Constant prices, 1913 borders'!B81:I81)</f>
        <v>6</v>
      </c>
      <c r="AC81" s="20">
        <f>+COUNT('Constant prices, 1913 borders'!L81:S81)</f>
        <v>6</v>
      </c>
    </row>
    <row r="82" spans="1:29" x14ac:dyDescent="0.25">
      <c r="A82">
        <v>1875</v>
      </c>
      <c r="B82" s="21">
        <f>+SUM('Current prices, current borders'!B82:I82)</f>
        <v>157.38616900129171</v>
      </c>
      <c r="C82" s="21"/>
      <c r="D82" s="21">
        <f>+SUM('Current prices, current borders'!L82:S82)</f>
        <v>145.95194775352434</v>
      </c>
      <c r="E82" s="21"/>
      <c r="F82" s="21">
        <f>+SUM('Current prices, 1913 borders'!B82:I82)</f>
        <v>156.24316900129173</v>
      </c>
      <c r="G82" s="21"/>
      <c r="H82" s="21">
        <f>+SUM('Current prices, 1913 borders'!L82:S82)</f>
        <v>143.95435992686208</v>
      </c>
      <c r="I82" s="21"/>
      <c r="J82" s="21">
        <f>+SUM('Constant prices, current border'!B82:I82)</f>
        <v>140.54143458034525</v>
      </c>
      <c r="K82" s="21"/>
      <c r="L82" s="21">
        <f>+SUM('Constant prices, current border'!L82:S82)</f>
        <v>143.66443688089683</v>
      </c>
      <c r="M82" s="21"/>
      <c r="N82" s="21">
        <f>+SUM('Constant prices, 1913 borders'!B82:I82)</f>
        <v>139.62772330622337</v>
      </c>
      <c r="O82" s="21"/>
      <c r="P82" s="21">
        <f>+SUM('Constant prices, 1913 borders'!L82:S82)</f>
        <v>142.37110286143991</v>
      </c>
      <c r="Q82" s="3"/>
      <c r="R82" s="3"/>
      <c r="S82" s="20">
        <f>+COUNT('Current prices, current borders'!B82:I82)</f>
        <v>6</v>
      </c>
      <c r="T82" s="20">
        <f>+COUNT('Current prices, current borders'!L82:S82)</f>
        <v>6</v>
      </c>
      <c r="U82" s="20"/>
      <c r="V82" s="20">
        <f>+COUNT('Current prices, 1913 borders'!B82:I82)</f>
        <v>6</v>
      </c>
      <c r="W82" s="20">
        <f>+COUNT('Current prices, 1913 borders'!L82:S82)</f>
        <v>6</v>
      </c>
      <c r="X82" s="20"/>
      <c r="Y82" s="20">
        <f>+COUNT('Constant prices, current border'!B82:I82)</f>
        <v>6</v>
      </c>
      <c r="Z82" s="20">
        <f>+COUNT('Constant prices, current border'!L82:S82)</f>
        <v>6</v>
      </c>
      <c r="AA82" s="20"/>
      <c r="AB82" s="20">
        <f>+COUNT('Constant prices, 1913 borders'!B82:I82)</f>
        <v>6</v>
      </c>
      <c r="AC82" s="20">
        <f>+COUNT('Constant prices, 1913 borders'!L82:S82)</f>
        <v>6</v>
      </c>
    </row>
    <row r="83" spans="1:29" x14ac:dyDescent="0.25">
      <c r="A83">
        <v>1876</v>
      </c>
      <c r="B83" s="21">
        <f>+SUM('Current prices, current borders'!B83:I83)</f>
        <v>147.30783444567848</v>
      </c>
      <c r="C83" s="21"/>
      <c r="D83" s="21">
        <f>+SUM('Current prices, current borders'!L83:S83)</f>
        <v>138.85334526832463</v>
      </c>
      <c r="E83" s="21"/>
      <c r="F83" s="21">
        <f>+SUM('Current prices, 1913 borders'!B83:I83)</f>
        <v>145.93883444567848</v>
      </c>
      <c r="G83" s="21"/>
      <c r="H83" s="21">
        <f>+SUM('Current prices, 1913 borders'!L83:S83)</f>
        <v>136.70505185118932</v>
      </c>
      <c r="I83" s="21"/>
      <c r="J83" s="21">
        <f>+SUM('Constant prices, current border'!B83:I83)</f>
        <v>134.25760381562665</v>
      </c>
      <c r="K83" s="21"/>
      <c r="L83" s="21">
        <f>+SUM('Constant prices, current border'!L83:S83)</f>
        <v>140.464231069004</v>
      </c>
      <c r="M83" s="21"/>
      <c r="N83" s="21">
        <f>+SUM('Constant prices, 1913 borders'!B83:I83)</f>
        <v>133.20333013079002</v>
      </c>
      <c r="O83" s="21"/>
      <c r="P83" s="21">
        <f>+SUM('Constant prices, 1913 borders'!L83:S83)</f>
        <v>139.0217929949068</v>
      </c>
      <c r="Q83" s="3"/>
      <c r="R83" s="3"/>
      <c r="S83" s="20">
        <f>+COUNT('Current prices, current borders'!B83:I83)</f>
        <v>6</v>
      </c>
      <c r="T83" s="20">
        <f>+COUNT('Current prices, current borders'!L83:S83)</f>
        <v>6</v>
      </c>
      <c r="U83" s="20"/>
      <c r="V83" s="20">
        <f>+COUNT('Current prices, 1913 borders'!B83:I83)</f>
        <v>6</v>
      </c>
      <c r="W83" s="20">
        <f>+COUNT('Current prices, 1913 borders'!L83:S83)</f>
        <v>6</v>
      </c>
      <c r="X83" s="20"/>
      <c r="Y83" s="20">
        <f>+COUNT('Constant prices, current border'!B83:I83)</f>
        <v>6</v>
      </c>
      <c r="Z83" s="20">
        <f>+COUNT('Constant prices, current border'!L83:S83)</f>
        <v>6</v>
      </c>
      <c r="AA83" s="20"/>
      <c r="AB83" s="20">
        <f>+COUNT('Constant prices, 1913 borders'!B83:I83)</f>
        <v>6</v>
      </c>
      <c r="AC83" s="20">
        <f>+COUNT('Constant prices, 1913 borders'!L83:S83)</f>
        <v>6</v>
      </c>
    </row>
    <row r="84" spans="1:29" x14ac:dyDescent="0.25">
      <c r="A84">
        <v>1877</v>
      </c>
      <c r="B84" s="21">
        <f>+SUM('Current prices, current borders'!B84:I84)</f>
        <v>157.97878543290847</v>
      </c>
      <c r="C84" s="21"/>
      <c r="D84" s="21">
        <f>+SUM('Current prices, current borders'!L84:S84)</f>
        <v>140.80651275187378</v>
      </c>
      <c r="E84" s="21"/>
      <c r="F84" s="21">
        <f>+SUM('Current prices, 1913 borders'!B84:I84)</f>
        <v>156.08778543290845</v>
      </c>
      <c r="G84" s="21"/>
      <c r="H84" s="21">
        <f>+SUM('Current prices, 1913 borders'!L84:S84)</f>
        <v>138.26717280259601</v>
      </c>
      <c r="I84" s="21"/>
      <c r="J84" s="21">
        <f>+SUM('Constant prices, current border'!B84:I84)</f>
        <v>148.92214631947394</v>
      </c>
      <c r="K84" s="21"/>
      <c r="L84" s="21">
        <f>+SUM('Constant prices, current border'!L84:S84)</f>
        <v>156.41057894942278</v>
      </c>
      <c r="M84" s="21"/>
      <c r="N84" s="21">
        <f>+SUM('Constant prices, 1913 borders'!B84:I84)</f>
        <v>147.46520600605729</v>
      </c>
      <c r="O84" s="21"/>
      <c r="P84" s="21">
        <f>+SUM('Constant prices, 1913 borders'!L84:S84)</f>
        <v>154.92647603012088</v>
      </c>
      <c r="Q84" s="3"/>
      <c r="R84" s="3"/>
      <c r="S84" s="20">
        <f>+COUNT('Current prices, current borders'!B84:I84)</f>
        <v>6</v>
      </c>
      <c r="T84" s="20">
        <f>+COUNT('Current prices, current borders'!L84:S84)</f>
        <v>6</v>
      </c>
      <c r="U84" s="20"/>
      <c r="V84" s="20">
        <f>+COUNT('Current prices, 1913 borders'!B84:I84)</f>
        <v>6</v>
      </c>
      <c r="W84" s="20">
        <f>+COUNT('Current prices, 1913 borders'!L84:S84)</f>
        <v>6</v>
      </c>
      <c r="X84" s="20"/>
      <c r="Y84" s="20">
        <f>+COUNT('Constant prices, current border'!B84:I84)</f>
        <v>6</v>
      </c>
      <c r="Z84" s="20">
        <f>+COUNT('Constant prices, current border'!L84:S84)</f>
        <v>6</v>
      </c>
      <c r="AA84" s="20"/>
      <c r="AB84" s="20">
        <f>+COUNT('Constant prices, 1913 borders'!B84:I84)</f>
        <v>6</v>
      </c>
      <c r="AC84" s="20">
        <f>+COUNT('Constant prices, 1913 borders'!L84:S84)</f>
        <v>6</v>
      </c>
    </row>
    <row r="85" spans="1:29" x14ac:dyDescent="0.25">
      <c r="A85">
        <v>1878</v>
      </c>
      <c r="B85" s="21">
        <f>+SUM('Current prices, current borders'!B85:I85)</f>
        <v>169.34396840752308</v>
      </c>
      <c r="C85" s="21"/>
      <c r="D85" s="21">
        <f>+SUM('Current prices, current borders'!L85:S85)</f>
        <v>143.99991220741319</v>
      </c>
      <c r="E85" s="21"/>
      <c r="F85" s="21">
        <f>+SUM('Current prices, 1913 borders'!B85:I85)</f>
        <v>167.17796840752305</v>
      </c>
      <c r="G85" s="21"/>
      <c r="H85" s="21">
        <f>+SUM('Current prices, 1913 borders'!L85:S85)</f>
        <v>140.58982884651343</v>
      </c>
      <c r="I85" s="21"/>
      <c r="J85" s="21">
        <f>+SUM('Constant prices, current border'!B85:I85)</f>
        <v>161.94891949802218</v>
      </c>
      <c r="K85" s="21"/>
      <c r="L85" s="21">
        <f>+SUM('Constant prices, current border'!L85:S85)</f>
        <v>153.54204059721201</v>
      </c>
      <c r="M85" s="21"/>
      <c r="N85" s="21">
        <f>+SUM('Constant prices, 1913 borders'!B85:I85)</f>
        <v>160.04498691103564</v>
      </c>
      <c r="O85" s="21"/>
      <c r="P85" s="21">
        <f>+SUM('Constant prices, 1913 borders'!L85:S85)</f>
        <v>151.39289774857227</v>
      </c>
      <c r="Q85" s="3"/>
      <c r="R85" s="3"/>
      <c r="S85" s="20">
        <f>+COUNT('Current prices, current borders'!B85:I85)</f>
        <v>6</v>
      </c>
      <c r="T85" s="20">
        <f>+COUNT('Current prices, current borders'!L85:S85)</f>
        <v>6</v>
      </c>
      <c r="U85" s="20"/>
      <c r="V85" s="20">
        <f>+COUNT('Current prices, 1913 borders'!B85:I85)</f>
        <v>6</v>
      </c>
      <c r="W85" s="20">
        <f>+COUNT('Current prices, 1913 borders'!L85:S85)</f>
        <v>6</v>
      </c>
      <c r="X85" s="20"/>
      <c r="Y85" s="20">
        <f>+COUNT('Constant prices, current border'!B85:I85)</f>
        <v>6</v>
      </c>
      <c r="Z85" s="20">
        <f>+COUNT('Constant prices, current border'!L85:S85)</f>
        <v>6</v>
      </c>
      <c r="AA85" s="20"/>
      <c r="AB85" s="20">
        <f>+COUNT('Constant prices, 1913 borders'!B85:I85)</f>
        <v>6</v>
      </c>
      <c r="AC85" s="20">
        <f>+COUNT('Constant prices, 1913 borders'!L85:S85)</f>
        <v>6</v>
      </c>
    </row>
    <row r="86" spans="1:29" x14ac:dyDescent="0.25">
      <c r="A86">
        <v>1879</v>
      </c>
      <c r="B86" s="21">
        <f>+SUM('Current prices, current borders'!B86:I86)</f>
        <v>166.17726175445017</v>
      </c>
      <c r="C86" s="21"/>
      <c r="D86" s="21">
        <f>+SUM('Current prices, current borders'!L86:S86)</f>
        <v>135.91984426986087</v>
      </c>
      <c r="E86" s="21"/>
      <c r="F86" s="21">
        <f>+SUM('Current prices, 1913 borders'!B86:I86)</f>
        <v>163.72126175445018</v>
      </c>
      <c r="G86" s="21"/>
      <c r="H86" s="21">
        <f>+SUM('Current prices, 1913 borders'!L86:S86)</f>
        <v>132.27138997501029</v>
      </c>
      <c r="I86" s="21"/>
      <c r="J86" s="21">
        <f>+SUM('Constant prices, current border'!B86:I86)</f>
        <v>159.43269479854297</v>
      </c>
      <c r="K86" s="21"/>
      <c r="L86" s="21">
        <f>+SUM('Constant prices, current border'!L86:S86)</f>
        <v>136.92364791135796</v>
      </c>
      <c r="M86" s="21"/>
      <c r="N86" s="21">
        <f>+SUM('Constant prices, 1913 borders'!B86:I86)</f>
        <v>157.2178755449811</v>
      </c>
      <c r="O86" s="21"/>
      <c r="P86" s="21">
        <f>+SUM('Constant prices, 1913 borders'!L86:S86)</f>
        <v>134.55473224864772</v>
      </c>
      <c r="Q86" s="3"/>
      <c r="R86" s="3"/>
      <c r="S86" s="20">
        <f>+COUNT('Current prices, current borders'!B86:I86)</f>
        <v>6</v>
      </c>
      <c r="T86" s="20">
        <f>+COUNT('Current prices, current borders'!L86:S86)</f>
        <v>6</v>
      </c>
      <c r="U86" s="20"/>
      <c r="V86" s="20">
        <f>+COUNT('Current prices, 1913 borders'!B86:I86)</f>
        <v>6</v>
      </c>
      <c r="W86" s="20">
        <f>+COUNT('Current prices, 1913 borders'!L86:S86)</f>
        <v>6</v>
      </c>
      <c r="X86" s="20"/>
      <c r="Y86" s="20">
        <f>+COUNT('Constant prices, current border'!B86:I86)</f>
        <v>6</v>
      </c>
      <c r="Z86" s="20">
        <f>+COUNT('Constant prices, current border'!L86:S86)</f>
        <v>6</v>
      </c>
      <c r="AA86" s="20"/>
      <c r="AB86" s="20">
        <f>+COUNT('Constant prices, 1913 borders'!B86:I86)</f>
        <v>6</v>
      </c>
      <c r="AC86" s="20">
        <f>+COUNT('Constant prices, 1913 borders'!L86:S86)</f>
        <v>6</v>
      </c>
    </row>
    <row r="87" spans="1:29" x14ac:dyDescent="0.25">
      <c r="A87">
        <v>1880</v>
      </c>
      <c r="B87" s="21">
        <f>+SUM('Current prices, current borders'!B87:I87)</f>
        <v>148.91194807332246</v>
      </c>
      <c r="C87" s="21"/>
      <c r="D87" s="21">
        <f>+SUM('Current prices, current borders'!L87:S87)</f>
        <v>169.46215541976539</v>
      </c>
      <c r="E87" s="21"/>
      <c r="F87" s="21">
        <f>+SUM('Current prices, 1913 borders'!B87:I87)</f>
        <v>146.11394807332246</v>
      </c>
      <c r="G87" s="21"/>
      <c r="H87" s="21">
        <f>+SUM('Current prices, 1913 borders'!L87:S87)</f>
        <v>164.65927660181413</v>
      </c>
      <c r="I87" s="21"/>
      <c r="J87" s="21">
        <f>+SUM('Constant prices, current border'!B87:I87)</f>
        <v>141.22007879277561</v>
      </c>
      <c r="K87" s="21"/>
      <c r="L87" s="21">
        <f>+SUM('Constant prices, current border'!L87:S87)</f>
        <v>174.50248187823274</v>
      </c>
      <c r="M87" s="21"/>
      <c r="N87" s="21">
        <f>+SUM('Constant prices, 1913 borders'!B87:I87)</f>
        <v>138.82723914549629</v>
      </c>
      <c r="O87" s="21"/>
      <c r="P87" s="21">
        <f>+SUM('Constant prices, 1913 borders'!L87:S87)</f>
        <v>171.69283111641818</v>
      </c>
      <c r="Q87" s="3"/>
      <c r="R87" s="3"/>
      <c r="S87" s="20">
        <f>+COUNT('Current prices, current borders'!B87:I87)</f>
        <v>6</v>
      </c>
      <c r="T87" s="20">
        <f>+COUNT('Current prices, current borders'!L87:S87)</f>
        <v>6</v>
      </c>
      <c r="U87" s="20"/>
      <c r="V87" s="20">
        <f>+COUNT('Current prices, 1913 borders'!B87:I87)</f>
        <v>6</v>
      </c>
      <c r="W87" s="20">
        <f>+COUNT('Current prices, 1913 borders'!L87:S87)</f>
        <v>6</v>
      </c>
      <c r="X87" s="20"/>
      <c r="Y87" s="20">
        <f>+COUNT('Constant prices, current border'!B87:I87)</f>
        <v>6</v>
      </c>
      <c r="Z87" s="20">
        <f>+COUNT('Constant prices, current border'!L87:S87)</f>
        <v>6</v>
      </c>
      <c r="AA87" s="20"/>
      <c r="AB87" s="20">
        <f>+COUNT('Constant prices, 1913 borders'!B87:I87)</f>
        <v>6</v>
      </c>
      <c r="AC87" s="20">
        <f>+COUNT('Constant prices, 1913 borders'!L87:S87)</f>
        <v>6</v>
      </c>
    </row>
    <row r="88" spans="1:29" x14ac:dyDescent="0.25">
      <c r="A88">
        <v>1881</v>
      </c>
      <c r="B88" s="21">
        <f>+SUM('Current prices, current borders'!B88:I88)</f>
        <v>187.81672274213037</v>
      </c>
      <c r="C88" s="21"/>
      <c r="D88" s="21">
        <f>+SUM('Current prices, current borders'!L88:S88)</f>
        <v>172.18943508215051</v>
      </c>
      <c r="E88" s="21"/>
      <c r="F88" s="21">
        <f>+SUM('Current prices, 1913 borders'!B88:I88)</f>
        <v>184.42072274213035</v>
      </c>
      <c r="G88" s="21"/>
      <c r="H88" s="21">
        <f>+SUM('Current prices, 1913 borders'!L88:S88)</f>
        <v>165.55346408204025</v>
      </c>
      <c r="I88" s="21"/>
      <c r="J88" s="21">
        <f>+SUM('Constant prices, current border'!B88:I88)</f>
        <v>180.62138478105385</v>
      </c>
      <c r="K88" s="21"/>
      <c r="L88" s="21">
        <f>+SUM('Constant prices, current border'!L88:S88)</f>
        <v>177.47863641796005</v>
      </c>
      <c r="M88" s="21"/>
      <c r="N88" s="21">
        <f>+SUM('Constant prices, 1913 borders'!B88:I88)</f>
        <v>177.69234229679506</v>
      </c>
      <c r="O88" s="21"/>
      <c r="P88" s="21">
        <f>+SUM('Constant prices, 1913 borders'!L88:S88)</f>
        <v>173.2830579679146</v>
      </c>
      <c r="Q88" s="3"/>
      <c r="R88" s="3"/>
      <c r="S88" s="20">
        <f>+COUNT('Current prices, current borders'!B88:I88)</f>
        <v>6</v>
      </c>
      <c r="T88" s="20">
        <f>+COUNT('Current prices, current borders'!L88:S88)</f>
        <v>6</v>
      </c>
      <c r="U88" s="20"/>
      <c r="V88" s="20">
        <f>+COUNT('Current prices, 1913 borders'!B88:I88)</f>
        <v>6</v>
      </c>
      <c r="W88" s="20">
        <f>+COUNT('Current prices, 1913 borders'!L88:S88)</f>
        <v>6</v>
      </c>
      <c r="X88" s="20"/>
      <c r="Y88" s="20">
        <f>+COUNT('Constant prices, current border'!B88:I88)</f>
        <v>6</v>
      </c>
      <c r="Z88" s="20">
        <f>+COUNT('Constant prices, current border'!L88:S88)</f>
        <v>6</v>
      </c>
      <c r="AA88" s="20"/>
      <c r="AB88" s="20">
        <f>+COUNT('Constant prices, 1913 borders'!B88:I88)</f>
        <v>6</v>
      </c>
      <c r="AC88" s="20">
        <f>+COUNT('Constant prices, 1913 borders'!L88:S88)</f>
        <v>6</v>
      </c>
    </row>
    <row r="89" spans="1:29" x14ac:dyDescent="0.25">
      <c r="A89">
        <v>1882</v>
      </c>
      <c r="B89" s="21">
        <f>+SUM('Current prices, current borders'!B89:I89)</f>
        <v>229.91038345632481</v>
      </c>
      <c r="C89" s="21"/>
      <c r="D89" s="21">
        <f>+SUM('Current prices, current borders'!L89:S89)</f>
        <v>177.88998307370377</v>
      </c>
      <c r="E89" s="21"/>
      <c r="F89" s="21">
        <f>+SUM('Current prices, 1913 borders'!B89:I89)</f>
        <v>226.1113834563248</v>
      </c>
      <c r="G89" s="21"/>
      <c r="H89" s="21">
        <f>+SUM('Current prices, 1913 borders'!L89:S89)</f>
        <v>169.79423635410956</v>
      </c>
      <c r="I89" s="21"/>
      <c r="J89" s="21">
        <f>+SUM('Constant prices, current border'!B89:I89)</f>
        <v>220.11439592154667</v>
      </c>
      <c r="K89" s="21"/>
      <c r="L89" s="21">
        <f>+SUM('Constant prices, current border'!L89:S89)</f>
        <v>178.68030458072644</v>
      </c>
      <c r="M89" s="21"/>
      <c r="N89" s="21">
        <f>+SUM('Constant prices, 1913 borders'!B89:I89)</f>
        <v>216.89843789743054</v>
      </c>
      <c r="O89" s="21"/>
      <c r="P89" s="21">
        <f>+SUM('Constant prices, 1913 borders'!L89:S89)</f>
        <v>173.30954923021267</v>
      </c>
      <c r="Q89" s="3"/>
      <c r="R89" s="3"/>
      <c r="S89" s="20">
        <f>+COUNT('Current prices, current borders'!B89:I89)</f>
        <v>6</v>
      </c>
      <c r="T89" s="20">
        <f>+COUNT('Current prices, current borders'!L89:S89)</f>
        <v>6</v>
      </c>
      <c r="U89" s="20"/>
      <c r="V89" s="20">
        <f>+COUNT('Current prices, 1913 borders'!B89:I89)</f>
        <v>6</v>
      </c>
      <c r="W89" s="20">
        <f>+COUNT('Current prices, 1913 borders'!L89:S89)</f>
        <v>6</v>
      </c>
      <c r="X89" s="20"/>
      <c r="Y89" s="20">
        <f>+COUNT('Constant prices, current border'!B89:I89)</f>
        <v>6</v>
      </c>
      <c r="Z89" s="20">
        <f>+COUNT('Constant prices, current border'!L89:S89)</f>
        <v>6</v>
      </c>
      <c r="AA89" s="20"/>
      <c r="AB89" s="20">
        <f>+COUNT('Constant prices, 1913 borders'!B89:I89)</f>
        <v>6</v>
      </c>
      <c r="AC89" s="20">
        <f>+COUNT('Constant prices, 1913 borders'!L89:S89)</f>
        <v>6</v>
      </c>
    </row>
    <row r="90" spans="1:29" x14ac:dyDescent="0.25">
      <c r="A90">
        <v>1883</v>
      </c>
      <c r="B90" s="21">
        <f>+SUM('Current prices, current borders'!B90:I90)</f>
        <v>227.09265138759639</v>
      </c>
      <c r="C90" s="21"/>
      <c r="D90" s="21">
        <f>+SUM('Current prices, current borders'!L90:S90)</f>
        <v>193.99960377572449</v>
      </c>
      <c r="E90" s="21"/>
      <c r="F90" s="21">
        <f>+SUM('Current prices, 1913 borders'!B90:I90)</f>
        <v>222.77665138759636</v>
      </c>
      <c r="G90" s="21"/>
      <c r="H90" s="21">
        <f>+SUM('Current prices, 1913 borders'!L90:S90)</f>
        <v>186.09790281641256</v>
      </c>
      <c r="I90" s="21"/>
      <c r="J90" s="21">
        <f>+SUM('Constant prices, current border'!B90:I90)</f>
        <v>215.66516388147377</v>
      </c>
      <c r="K90" s="21"/>
      <c r="L90" s="21">
        <f>+SUM('Constant prices, current border'!L90:S90)</f>
        <v>194.54618215905396</v>
      </c>
      <c r="M90" s="21"/>
      <c r="N90" s="21">
        <f>+SUM('Constant prices, 1913 borders'!B90:I90)</f>
        <v>211.85360922404331</v>
      </c>
      <c r="O90" s="21"/>
      <c r="P90" s="21">
        <f>+SUM('Constant prices, 1913 borders'!L90:S90)</f>
        <v>189.73547209413633</v>
      </c>
      <c r="Q90" s="3"/>
      <c r="R90" s="3"/>
      <c r="S90" s="20">
        <f>+COUNT('Current prices, current borders'!B90:I90)</f>
        <v>6</v>
      </c>
      <c r="T90" s="20">
        <f>+COUNT('Current prices, current borders'!L90:S90)</f>
        <v>6</v>
      </c>
      <c r="U90" s="20"/>
      <c r="V90" s="20">
        <f>+COUNT('Current prices, 1913 borders'!B90:I90)</f>
        <v>6</v>
      </c>
      <c r="W90" s="20">
        <f>+COUNT('Current prices, 1913 borders'!L90:S90)</f>
        <v>6</v>
      </c>
      <c r="X90" s="20"/>
      <c r="Y90" s="20">
        <f>+COUNT('Constant prices, current border'!B90:I90)</f>
        <v>6</v>
      </c>
      <c r="Z90" s="20">
        <f>+COUNT('Constant prices, current border'!L90:S90)</f>
        <v>6</v>
      </c>
      <c r="AA90" s="20"/>
      <c r="AB90" s="20">
        <f>+COUNT('Constant prices, 1913 borders'!B90:I90)</f>
        <v>6</v>
      </c>
      <c r="AC90" s="20">
        <f>+COUNT('Constant prices, 1913 borders'!L90:S90)</f>
        <v>6</v>
      </c>
    </row>
    <row r="91" spans="1:29" x14ac:dyDescent="0.25">
      <c r="A91">
        <v>1884</v>
      </c>
      <c r="B91" s="21">
        <f>+SUM('Current prices, current borders'!B91:I91)</f>
        <v>229.75062917648802</v>
      </c>
      <c r="C91" s="21"/>
      <c r="D91" s="21">
        <f>+SUM('Current prices, current borders'!L91:S91)</f>
        <v>187.10423219022582</v>
      </c>
      <c r="E91" s="21"/>
      <c r="F91" s="21">
        <f>+SUM('Current prices, 1913 borders'!B91:I91)</f>
        <v>226.38262917648802</v>
      </c>
      <c r="G91" s="21"/>
      <c r="H91" s="21">
        <f>+SUM('Current prices, 1913 borders'!L91:S91)</f>
        <v>179.13062594918492</v>
      </c>
      <c r="I91" s="21"/>
      <c r="J91" s="21">
        <f>+SUM('Constant prices, current border'!B91:I91)</f>
        <v>222.58655655734808</v>
      </c>
      <c r="K91" s="21"/>
      <c r="L91" s="21">
        <f>+SUM('Constant prices, current border'!L91:S91)</f>
        <v>190.57804491291938</v>
      </c>
      <c r="M91" s="21"/>
      <c r="N91" s="21">
        <f>+SUM('Constant prices, 1913 borders'!B91:I91)</f>
        <v>219.38218710370373</v>
      </c>
      <c r="O91" s="21"/>
      <c r="P91" s="21">
        <f>+SUM('Constant prices, 1913 borders'!L91:S91)</f>
        <v>184.83369093137117</v>
      </c>
      <c r="Q91" s="3"/>
      <c r="R91" s="3"/>
      <c r="S91" s="20">
        <f>+COUNT('Current prices, current borders'!B91:I91)</f>
        <v>6</v>
      </c>
      <c r="T91" s="20">
        <f>+COUNT('Current prices, current borders'!L91:S91)</f>
        <v>6</v>
      </c>
      <c r="U91" s="20"/>
      <c r="V91" s="20">
        <f>+COUNT('Current prices, 1913 borders'!B91:I91)</f>
        <v>6</v>
      </c>
      <c r="W91" s="20">
        <f>+COUNT('Current prices, 1913 borders'!L91:S91)</f>
        <v>6</v>
      </c>
      <c r="X91" s="20"/>
      <c r="Y91" s="20">
        <f>+COUNT('Constant prices, current border'!B91:I91)</f>
        <v>6</v>
      </c>
      <c r="Z91" s="20">
        <f>+COUNT('Constant prices, current border'!L91:S91)</f>
        <v>6</v>
      </c>
      <c r="AA91" s="20"/>
      <c r="AB91" s="20">
        <f>+COUNT('Constant prices, 1913 borders'!B91:I91)</f>
        <v>6</v>
      </c>
      <c r="AC91" s="20">
        <f>+COUNT('Constant prices, 1913 borders'!L91:S91)</f>
        <v>6</v>
      </c>
    </row>
    <row r="92" spans="1:29" x14ac:dyDescent="0.25">
      <c r="A92">
        <v>1885</v>
      </c>
      <c r="B92" s="21">
        <f>+SUM('Current prices, current borders'!B92:I92)</f>
        <v>227.07733323195438</v>
      </c>
      <c r="C92" s="21"/>
      <c r="D92" s="21">
        <f>+SUM('Current prices, current borders'!L92:S92)</f>
        <v>177.77921688944372</v>
      </c>
      <c r="E92" s="21"/>
      <c r="F92" s="21">
        <f>+SUM('Current prices, 1913 borders'!B92:I92)</f>
        <v>224.13633323195438</v>
      </c>
      <c r="G92" s="21"/>
      <c r="H92" s="21">
        <f>+SUM('Current prices, 1913 borders'!L92:S92)</f>
        <v>168.84621688944372</v>
      </c>
      <c r="I92" s="21"/>
      <c r="J92" s="21">
        <f>+SUM('Constant prices, current border'!B92:I92)</f>
        <v>235.4461744489796</v>
      </c>
      <c r="K92" s="21"/>
      <c r="L92" s="21">
        <f>+SUM('Constant prices, current border'!L92:S92)</f>
        <v>197.27870099655277</v>
      </c>
      <c r="M92" s="21"/>
      <c r="N92" s="21">
        <f>+SUM('Constant prices, 1913 borders'!B92:I92)</f>
        <v>232.56075203038631</v>
      </c>
      <c r="O92" s="21"/>
      <c r="P92" s="21">
        <f>+SUM('Constant prices, 1913 borders'!L92:S92)</f>
        <v>190.76690548655972</v>
      </c>
      <c r="Q92" s="3"/>
      <c r="R92" s="3"/>
      <c r="S92" s="20">
        <f>+COUNT('Current prices, current borders'!B92:I92)</f>
        <v>6</v>
      </c>
      <c r="T92" s="20">
        <f>+COUNT('Current prices, current borders'!L92:S92)</f>
        <v>6</v>
      </c>
      <c r="U92" s="20"/>
      <c r="V92" s="20">
        <f>+COUNT('Current prices, 1913 borders'!B92:I92)</f>
        <v>6</v>
      </c>
      <c r="W92" s="20">
        <f>+COUNT('Current prices, 1913 borders'!L92:S92)</f>
        <v>6</v>
      </c>
      <c r="X92" s="20"/>
      <c r="Y92" s="20">
        <f>+COUNT('Constant prices, current border'!B92:I92)</f>
        <v>6</v>
      </c>
      <c r="Z92" s="20">
        <f>+COUNT('Constant prices, current border'!L92:S92)</f>
        <v>6</v>
      </c>
      <c r="AA92" s="20"/>
      <c r="AB92" s="20">
        <f>+COUNT('Constant prices, 1913 borders'!B92:I92)</f>
        <v>6</v>
      </c>
      <c r="AC92" s="20">
        <f>+COUNT('Constant prices, 1913 borders'!L92:S92)</f>
        <v>6</v>
      </c>
    </row>
    <row r="93" spans="1:29" x14ac:dyDescent="0.25">
      <c r="A93">
        <v>1886</v>
      </c>
      <c r="B93" s="21">
        <f>+SUM('Current prices, current borders'!B93:I93)</f>
        <v>209.41854459863106</v>
      </c>
      <c r="C93" s="21"/>
      <c r="D93" s="21">
        <f>+SUM('Current prices, current borders'!L93:S93)</f>
        <v>152.35717689011153</v>
      </c>
      <c r="E93" s="21"/>
      <c r="F93" s="21">
        <f>+SUM('Current prices, 1913 borders'!B93:I93)</f>
        <v>205.41654459863105</v>
      </c>
      <c r="G93" s="21"/>
      <c r="H93" s="21">
        <f>+SUM('Current prices, 1913 borders'!L93:S93)</f>
        <v>142.34017689011154</v>
      </c>
      <c r="I93" s="21"/>
      <c r="J93" s="21">
        <f>+SUM('Constant prices, current border'!B93:I93)</f>
        <v>223.09786143250398</v>
      </c>
      <c r="K93" s="21"/>
      <c r="L93" s="21">
        <f>+SUM('Constant prices, current border'!L93:S93)</f>
        <v>176.66872397054152</v>
      </c>
      <c r="M93" s="21"/>
      <c r="N93" s="21">
        <f>+SUM('Constant prices, 1913 borders'!B93:I93)</f>
        <v>218.95571330367608</v>
      </c>
      <c r="O93" s="21"/>
      <c r="P93" s="21">
        <f>+SUM('Constant prices, 1913 borders'!L93:S93)</f>
        <v>169.07237894266109</v>
      </c>
      <c r="Q93" s="3"/>
      <c r="R93" s="3"/>
      <c r="S93" s="20">
        <f>+COUNT('Current prices, current borders'!B93:I93)</f>
        <v>6</v>
      </c>
      <c r="T93" s="20">
        <f>+COUNT('Current prices, current borders'!L93:S93)</f>
        <v>6</v>
      </c>
      <c r="U93" s="20"/>
      <c r="V93" s="20">
        <f>+COUNT('Current prices, 1913 borders'!B93:I93)</f>
        <v>6</v>
      </c>
      <c r="W93" s="20">
        <f>+COUNT('Current prices, 1913 borders'!L93:S93)</f>
        <v>6</v>
      </c>
      <c r="X93" s="20"/>
      <c r="Y93" s="20">
        <f>+COUNT('Constant prices, current border'!B93:I93)</f>
        <v>6</v>
      </c>
      <c r="Z93" s="20">
        <f>+COUNT('Constant prices, current border'!L93:S93)</f>
        <v>6</v>
      </c>
      <c r="AA93" s="20"/>
      <c r="AB93" s="20">
        <f>+COUNT('Constant prices, 1913 borders'!B93:I93)</f>
        <v>6</v>
      </c>
      <c r="AC93" s="20">
        <f>+COUNT('Constant prices, 1913 borders'!L93:S93)</f>
        <v>6</v>
      </c>
    </row>
    <row r="94" spans="1:29" x14ac:dyDescent="0.25">
      <c r="A94">
        <v>1887</v>
      </c>
      <c r="B94" s="21">
        <f>+SUM('Current prices, current borders'!B94:I94)</f>
        <v>185.37054198376083</v>
      </c>
      <c r="C94" s="21"/>
      <c r="D94" s="21">
        <f>+SUM('Current prices, current borders'!L94:S94)</f>
        <v>161.49215929040363</v>
      </c>
      <c r="E94" s="21"/>
      <c r="F94" s="21">
        <f>+SUM('Current prices, 1913 borders'!B94:I94)</f>
        <v>181.72254198376083</v>
      </c>
      <c r="G94" s="21"/>
      <c r="H94" s="21">
        <f>+SUM('Current prices, 1913 borders'!L94:S94)</f>
        <v>152.00215929040365</v>
      </c>
      <c r="I94" s="21"/>
      <c r="J94" s="21">
        <f>+SUM('Constant prices, current border'!B94:I94)</f>
        <v>195.71959060705834</v>
      </c>
      <c r="K94" s="21"/>
      <c r="L94" s="21">
        <f>+SUM('Constant prices, current border'!L94:S94)</f>
        <v>178.72964690314427</v>
      </c>
      <c r="M94" s="21"/>
      <c r="N94" s="21">
        <f>+SUM('Constant prices, 1913 borders'!B94:I94)</f>
        <v>191.84444403739175</v>
      </c>
      <c r="O94" s="21"/>
      <c r="P94" s="21">
        <f>+SUM('Constant prices, 1913 borders'!L94:S94)</f>
        <v>170.82418274655319</v>
      </c>
      <c r="Q94" s="3"/>
      <c r="R94" s="3"/>
      <c r="S94" s="20">
        <f>+COUNT('Current prices, current borders'!B94:I94)</f>
        <v>6</v>
      </c>
      <c r="T94" s="20">
        <f>+COUNT('Current prices, current borders'!L94:S94)</f>
        <v>6</v>
      </c>
      <c r="U94" s="20"/>
      <c r="V94" s="20">
        <f>+COUNT('Current prices, 1913 borders'!B94:I94)</f>
        <v>6</v>
      </c>
      <c r="W94" s="20">
        <f>+COUNT('Current prices, 1913 borders'!L94:S94)</f>
        <v>6</v>
      </c>
      <c r="X94" s="20"/>
      <c r="Y94" s="20">
        <f>+COUNT('Constant prices, current border'!B94:I94)</f>
        <v>6</v>
      </c>
      <c r="Z94" s="20">
        <f>+COUNT('Constant prices, current border'!L94:S94)</f>
        <v>6</v>
      </c>
      <c r="AA94" s="20"/>
      <c r="AB94" s="20">
        <f>+COUNT('Constant prices, 1913 borders'!B94:I94)</f>
        <v>6</v>
      </c>
      <c r="AC94" s="20">
        <f>+COUNT('Constant prices, 1913 borders'!L94:S94)</f>
        <v>6</v>
      </c>
    </row>
    <row r="95" spans="1:29" x14ac:dyDescent="0.25">
      <c r="A95">
        <v>1888</v>
      </c>
      <c r="B95" s="21">
        <f>+SUM('Current prices, current borders'!B95:I95)</f>
        <v>219.80345972002553</v>
      </c>
      <c r="C95" s="21"/>
      <c r="D95" s="21">
        <f>+SUM('Current prices, current borders'!L95:S95)</f>
        <v>195.98167389125433</v>
      </c>
      <c r="E95" s="21"/>
      <c r="F95" s="21">
        <f>+SUM('Current prices, 1913 borders'!B95:I95)</f>
        <v>216.47345972002555</v>
      </c>
      <c r="G95" s="21"/>
      <c r="H95" s="21">
        <f>+SUM('Current prices, 1913 borders'!L95:S95)</f>
        <v>184.30967389125431</v>
      </c>
      <c r="I95" s="21"/>
      <c r="J95" s="21">
        <f>+SUM('Constant prices, current border'!B95:I95)</f>
        <v>230.49856361878383</v>
      </c>
      <c r="K95" s="21"/>
      <c r="L95" s="21">
        <f>+SUM('Constant prices, current border'!L95:S95)</f>
        <v>226.97237481359093</v>
      </c>
      <c r="M95" s="21"/>
      <c r="N95" s="21">
        <f>+SUM('Constant prices, 1913 borders'!B95:I95)</f>
        <v>227.39321576391293</v>
      </c>
      <c r="O95" s="21"/>
      <c r="P95" s="21">
        <f>+SUM('Constant prices, 1913 borders'!L95:S95)</f>
        <v>217.39841843411273</v>
      </c>
      <c r="Q95" s="3"/>
      <c r="R95" s="3"/>
      <c r="S95" s="20">
        <f>+COUNT('Current prices, current borders'!B95:I95)</f>
        <v>6</v>
      </c>
      <c r="T95" s="20">
        <f>+COUNT('Current prices, current borders'!L95:S95)</f>
        <v>6</v>
      </c>
      <c r="U95" s="20"/>
      <c r="V95" s="20">
        <f>+COUNT('Current prices, 1913 borders'!B95:I95)</f>
        <v>6</v>
      </c>
      <c r="W95" s="20">
        <f>+COUNT('Current prices, 1913 borders'!L95:S95)</f>
        <v>6</v>
      </c>
      <c r="X95" s="20"/>
      <c r="Y95" s="20">
        <f>+COUNT('Constant prices, current border'!B95:I95)</f>
        <v>6</v>
      </c>
      <c r="Z95" s="20">
        <f>+COUNT('Constant prices, current border'!L95:S95)</f>
        <v>6</v>
      </c>
      <c r="AA95" s="20"/>
      <c r="AB95" s="20">
        <f>+COUNT('Constant prices, 1913 borders'!B95:I95)</f>
        <v>6</v>
      </c>
      <c r="AC95" s="20">
        <f>+COUNT('Constant prices, 1913 borders'!L95:S95)</f>
        <v>6</v>
      </c>
    </row>
    <row r="96" spans="1:29" x14ac:dyDescent="0.25">
      <c r="A96">
        <v>1889</v>
      </c>
      <c r="B96" s="21">
        <f>+SUM('Current prices, current borders'!B96:I96)</f>
        <v>224.54531912384135</v>
      </c>
      <c r="C96" s="21"/>
      <c r="D96" s="21">
        <f>+SUM('Current prices, current borders'!L96:S96)</f>
        <v>207.71673492988023</v>
      </c>
      <c r="E96" s="21"/>
      <c r="F96" s="21">
        <f>+SUM('Current prices, 1913 borders'!B96:I96)</f>
        <v>220.23931912384137</v>
      </c>
      <c r="G96" s="21"/>
      <c r="H96" s="21">
        <f>+SUM('Current prices, 1913 borders'!L96:S96)</f>
        <v>193.87673492988023</v>
      </c>
      <c r="I96" s="21"/>
      <c r="J96" s="21">
        <f>+SUM('Constant prices, current border'!B96:I96)</f>
        <v>228.9039888324898</v>
      </c>
      <c r="K96" s="21"/>
      <c r="L96" s="21">
        <f>+SUM('Constant prices, current border'!L96:S96)</f>
        <v>235.95372673978216</v>
      </c>
      <c r="M96" s="21"/>
      <c r="N96" s="21">
        <f>+SUM('Constant prices, 1913 borders'!B96:I96)</f>
        <v>224.91639553456608</v>
      </c>
      <c r="O96" s="21"/>
      <c r="P96" s="21">
        <f>+SUM('Constant prices, 1913 borders'!L96:S96)</f>
        <v>225.46169577914705</v>
      </c>
      <c r="Q96" s="3"/>
      <c r="R96" s="3"/>
      <c r="S96" s="20">
        <f>+COUNT('Current prices, current borders'!B96:I96)</f>
        <v>6</v>
      </c>
      <c r="T96" s="20">
        <f>+COUNT('Current prices, current borders'!L96:S96)</f>
        <v>6</v>
      </c>
      <c r="U96" s="20"/>
      <c r="V96" s="20">
        <f>+COUNT('Current prices, 1913 borders'!B96:I96)</f>
        <v>6</v>
      </c>
      <c r="W96" s="20">
        <f>+COUNT('Current prices, 1913 borders'!L96:S96)</f>
        <v>6</v>
      </c>
      <c r="X96" s="20"/>
      <c r="Y96" s="20">
        <f>+COUNT('Constant prices, current border'!B96:I96)</f>
        <v>6</v>
      </c>
      <c r="Z96" s="20">
        <f>+COUNT('Constant prices, current border'!L96:S96)</f>
        <v>6</v>
      </c>
      <c r="AA96" s="20"/>
      <c r="AB96" s="20">
        <f>+COUNT('Constant prices, 1913 borders'!B96:I96)</f>
        <v>6</v>
      </c>
      <c r="AC96" s="20">
        <f>+COUNT('Constant prices, 1913 borders'!L96:S96)</f>
        <v>6</v>
      </c>
    </row>
    <row r="97" spans="1:29" x14ac:dyDescent="0.25">
      <c r="A97">
        <v>1890</v>
      </c>
      <c r="B97" s="21">
        <f>+SUM('Current prices, current borders'!B97:I97)</f>
        <v>214.22122902409959</v>
      </c>
      <c r="C97" s="21"/>
      <c r="D97" s="21">
        <f>+SUM('Current prices, current borders'!L97:S97)</f>
        <v>207.60094498435998</v>
      </c>
      <c r="E97" s="21"/>
      <c r="F97" s="21">
        <f>+SUM('Current prices, 1913 borders'!B97:I97)</f>
        <v>208.9622290240996</v>
      </c>
      <c r="G97" s="21"/>
      <c r="H97" s="21">
        <f>+SUM('Current prices, 1913 borders'!L97:S97)</f>
        <v>194.52694498435997</v>
      </c>
      <c r="I97" s="21"/>
      <c r="J97" s="21">
        <f>+SUM('Constant prices, current border'!B97:I97)</f>
        <v>218.92005179671844</v>
      </c>
      <c r="K97" s="21"/>
      <c r="L97" s="21">
        <f>+SUM('Constant prices, current border'!L97:S97)</f>
        <v>240.87400421655104</v>
      </c>
      <c r="M97" s="21"/>
      <c r="N97" s="21">
        <f>+SUM('Constant prices, 1913 borders'!B97:I97)</f>
        <v>213.98231523895925</v>
      </c>
      <c r="O97" s="21"/>
      <c r="P97" s="21">
        <f>+SUM('Constant prices, 1913 borders'!L97:S97)</f>
        <v>228.25597623266515</v>
      </c>
      <c r="Q97" s="3"/>
      <c r="R97" s="3"/>
      <c r="S97" s="20">
        <f>+COUNT('Current prices, current borders'!B97:I97)</f>
        <v>6</v>
      </c>
      <c r="T97" s="20">
        <f>+COUNT('Current prices, current borders'!L97:S97)</f>
        <v>6</v>
      </c>
      <c r="U97" s="20"/>
      <c r="V97" s="20">
        <f>+COUNT('Current prices, 1913 borders'!B97:I97)</f>
        <v>6</v>
      </c>
      <c r="W97" s="20">
        <f>+COUNT('Current prices, 1913 borders'!L97:S97)</f>
        <v>6</v>
      </c>
      <c r="X97" s="20"/>
      <c r="Y97" s="20">
        <f>+COUNT('Constant prices, current border'!B97:I97)</f>
        <v>6</v>
      </c>
      <c r="Z97" s="20">
        <f>+COUNT('Constant prices, current border'!L97:S97)</f>
        <v>6</v>
      </c>
      <c r="AA97" s="20"/>
      <c r="AB97" s="20">
        <f>+COUNT('Constant prices, 1913 borders'!B97:I97)</f>
        <v>6</v>
      </c>
      <c r="AC97" s="20">
        <f>+COUNT('Constant prices, 1913 borders'!L97:S97)</f>
        <v>6</v>
      </c>
    </row>
    <row r="98" spans="1:29" x14ac:dyDescent="0.25">
      <c r="A98">
        <v>1891</v>
      </c>
      <c r="B98" s="21">
        <f>+SUM('Current prices, current borders'!B98:I98)</f>
        <v>228.87651121064127</v>
      </c>
      <c r="C98" s="21"/>
      <c r="D98" s="21">
        <f>+SUM('Current prices, current borders'!L98:S98)</f>
        <v>239.35683354277614</v>
      </c>
      <c r="E98" s="21"/>
      <c r="F98" s="21">
        <f>+SUM('Current prices, 1913 borders'!B98:I98)</f>
        <v>223.58251121064129</v>
      </c>
      <c r="G98" s="21"/>
      <c r="H98" s="21">
        <f>+SUM('Current prices, 1913 borders'!L98:S98)</f>
        <v>229.16083354277612</v>
      </c>
      <c r="I98" s="21"/>
      <c r="J98" s="21">
        <f>+SUM('Constant prices, current border'!B98:I98)</f>
        <v>245.56076561392973</v>
      </c>
      <c r="K98" s="21"/>
      <c r="L98" s="21">
        <f>+SUM('Constant prices, current border'!L98:S98)</f>
        <v>301.66514982706872</v>
      </c>
      <c r="M98" s="21"/>
      <c r="N98" s="21">
        <f>+SUM('Constant prices, 1913 borders'!B98:I98)</f>
        <v>240.06334368317917</v>
      </c>
      <c r="O98" s="21"/>
      <c r="P98" s="21">
        <f>+SUM('Constant prices, 1913 borders'!L98:S98)</f>
        <v>292.47525150234463</v>
      </c>
      <c r="Q98" s="3"/>
      <c r="R98" s="3"/>
      <c r="S98" s="20">
        <f>+COUNT('Current prices, current borders'!B98:I98)</f>
        <v>6</v>
      </c>
      <c r="T98" s="20">
        <f>+COUNT('Current prices, current borders'!L98:S98)</f>
        <v>6</v>
      </c>
      <c r="U98" s="20"/>
      <c r="V98" s="20">
        <f>+COUNT('Current prices, 1913 borders'!B98:I98)</f>
        <v>6</v>
      </c>
      <c r="W98" s="20">
        <f>+COUNT('Current prices, 1913 borders'!L98:S98)</f>
        <v>6</v>
      </c>
      <c r="X98" s="20"/>
      <c r="Y98" s="20">
        <f>+COUNT('Constant prices, current border'!B98:I98)</f>
        <v>6</v>
      </c>
      <c r="Z98" s="20">
        <f>+COUNT('Constant prices, current border'!L98:S98)</f>
        <v>6</v>
      </c>
      <c r="AA98" s="20"/>
      <c r="AB98" s="20">
        <f>+COUNT('Constant prices, 1913 borders'!B98:I98)</f>
        <v>6</v>
      </c>
      <c r="AC98" s="20">
        <f>+COUNT('Constant prices, 1913 borders'!L98:S98)</f>
        <v>6</v>
      </c>
    </row>
    <row r="99" spans="1:29" x14ac:dyDescent="0.25">
      <c r="A99">
        <v>1892</v>
      </c>
      <c r="B99" s="21">
        <f>+SUM('Current prices, current borders'!B99:I99)</f>
        <v>195.41064336834711</v>
      </c>
      <c r="C99" s="21"/>
      <c r="D99" s="21">
        <f>+SUM('Current prices, current borders'!L99:S99)</f>
        <v>224.0871607316071</v>
      </c>
      <c r="E99" s="21"/>
      <c r="F99" s="21">
        <f>+SUM('Current prices, 1913 borders'!B99:I99)</f>
        <v>191.57264336834714</v>
      </c>
      <c r="G99" s="21"/>
      <c r="H99" s="21">
        <f>+SUM('Current prices, 1913 borders'!L99:S99)</f>
        <v>216.0571607316071</v>
      </c>
      <c r="I99" s="21"/>
      <c r="J99" s="21">
        <f>+SUM('Constant prices, current border'!B99:I99)</f>
        <v>215.99155907451333</v>
      </c>
      <c r="K99" s="21"/>
      <c r="L99" s="21">
        <f>+SUM('Constant prices, current border'!L99:S99)</f>
        <v>292.33437167968179</v>
      </c>
      <c r="M99" s="21"/>
      <c r="N99" s="21">
        <f>+SUM('Constant prices, 1913 borders'!B99:I99)</f>
        <v>211.74375458444842</v>
      </c>
      <c r="O99" s="21"/>
      <c r="P99" s="21">
        <f>+SUM('Constant prices, 1913 borders'!L99:S99)</f>
        <v>285.79953915740833</v>
      </c>
      <c r="Q99" s="3"/>
      <c r="R99" s="3"/>
      <c r="S99" s="20">
        <f>+COUNT('Current prices, current borders'!B99:I99)</f>
        <v>6</v>
      </c>
      <c r="T99" s="20">
        <f>+COUNT('Current prices, current borders'!L99:S99)</f>
        <v>6</v>
      </c>
      <c r="U99" s="20"/>
      <c r="V99" s="20">
        <f>+COUNT('Current prices, 1913 borders'!B99:I99)</f>
        <v>6</v>
      </c>
      <c r="W99" s="20">
        <f>+COUNT('Current prices, 1913 borders'!L99:S99)</f>
        <v>6</v>
      </c>
      <c r="X99" s="20"/>
      <c r="Y99" s="20">
        <f>+COUNT('Constant prices, current border'!B99:I99)</f>
        <v>6</v>
      </c>
      <c r="Z99" s="20">
        <f>+COUNT('Constant prices, current border'!L99:S99)</f>
        <v>6</v>
      </c>
      <c r="AA99" s="20"/>
      <c r="AB99" s="20">
        <f>+COUNT('Constant prices, 1913 borders'!B99:I99)</f>
        <v>6</v>
      </c>
      <c r="AC99" s="20">
        <f>+COUNT('Constant prices, 1913 borders'!L99:S99)</f>
        <v>6</v>
      </c>
    </row>
    <row r="100" spans="1:29" x14ac:dyDescent="0.25">
      <c r="A100">
        <v>1893</v>
      </c>
      <c r="B100" s="21">
        <f>+SUM('Current prices, current borders'!B100:I100)</f>
        <v>161.87462024805032</v>
      </c>
      <c r="C100" s="21"/>
      <c r="D100" s="21">
        <f>+SUM('Current prices, current borders'!L100:S100)</f>
        <v>224.6769897799561</v>
      </c>
      <c r="E100" s="21"/>
      <c r="F100" s="21">
        <f>+SUM('Current prices, 1913 borders'!B100:I100)</f>
        <v>157.56662024805033</v>
      </c>
      <c r="G100" s="21"/>
      <c r="H100" s="21">
        <f>+SUM('Current prices, 1913 borders'!L100:S100)</f>
        <v>213.92298977995608</v>
      </c>
      <c r="I100" s="21"/>
      <c r="J100" s="21">
        <f>+SUM('Constant prices, current border'!B100:I100)</f>
        <v>184.5217739847202</v>
      </c>
      <c r="K100" s="21"/>
      <c r="L100" s="21">
        <f>+SUM('Constant prices, current border'!L100:S100)</f>
        <v>317.48410841710313</v>
      </c>
      <c r="M100" s="21"/>
      <c r="N100" s="21">
        <f>+SUM('Constant prices, 1913 borders'!B100:I100)</f>
        <v>179.65744295509407</v>
      </c>
      <c r="O100" s="21"/>
      <c r="P100" s="21">
        <f>+SUM('Constant prices, 1913 borders'!L100:S100)</f>
        <v>308.93638578874419</v>
      </c>
      <c r="Q100" s="3"/>
      <c r="R100" s="3"/>
      <c r="S100" s="20">
        <f>+COUNT('Current prices, current borders'!B100:I100)</f>
        <v>6</v>
      </c>
      <c r="T100" s="20">
        <f>+COUNT('Current prices, current borders'!L100:S100)</f>
        <v>6</v>
      </c>
      <c r="U100" s="20"/>
      <c r="V100" s="20">
        <f>+COUNT('Current prices, 1913 borders'!B100:I100)</f>
        <v>6</v>
      </c>
      <c r="W100" s="20">
        <f>+COUNT('Current prices, 1913 borders'!L100:S100)</f>
        <v>6</v>
      </c>
      <c r="X100" s="20"/>
      <c r="Y100" s="20">
        <f>+COUNT('Constant prices, current border'!B100:I100)</f>
        <v>6</v>
      </c>
      <c r="Z100" s="20">
        <f>+COUNT('Constant prices, current border'!L100:S100)</f>
        <v>6</v>
      </c>
      <c r="AA100" s="20"/>
      <c r="AB100" s="20">
        <f>+COUNT('Constant prices, 1913 borders'!B100:I100)</f>
        <v>6</v>
      </c>
      <c r="AC100" s="20">
        <f>+COUNT('Constant prices, 1913 borders'!L100:S100)</f>
        <v>6</v>
      </c>
    </row>
    <row r="101" spans="1:29" x14ac:dyDescent="0.25">
      <c r="A101">
        <v>1894</v>
      </c>
      <c r="B101" s="21">
        <f>+SUM('Current prices, current borders'!B101:I101)</f>
        <v>152.53964463963979</v>
      </c>
      <c r="C101" s="21"/>
      <c r="D101" s="21">
        <f>+SUM('Current prices, current borders'!L101:S101)</f>
        <v>218.14981559259135</v>
      </c>
      <c r="E101" s="21"/>
      <c r="F101" s="21">
        <f>+SUM('Current prices, 1913 borders'!B101:I101)</f>
        <v>148.18564463963978</v>
      </c>
      <c r="G101" s="21"/>
      <c r="H101" s="21">
        <f>+SUM('Current prices, 1913 borders'!L101:S101)</f>
        <v>209.15281559259137</v>
      </c>
      <c r="I101" s="21"/>
      <c r="J101" s="21">
        <f>+SUM('Constant prices, current border'!B101:I101)</f>
        <v>181.89547706923213</v>
      </c>
      <c r="K101" s="21"/>
      <c r="L101" s="21">
        <f>+SUM('Constant prices, current border'!L101:S101)</f>
        <v>337.18829005491068</v>
      </c>
      <c r="M101" s="21"/>
      <c r="N101" s="21">
        <f>+SUM('Constant prices, 1913 borders'!B101:I101)</f>
        <v>176.445791701584</v>
      </c>
      <c r="O101" s="21"/>
      <c r="P101" s="21">
        <f>+SUM('Constant prices, 1913 borders'!L101:S101)</f>
        <v>328.72267343467342</v>
      </c>
      <c r="Q101" s="3"/>
      <c r="R101" s="3"/>
      <c r="S101" s="20">
        <f>+COUNT('Current prices, current borders'!B101:I101)</f>
        <v>6</v>
      </c>
      <c r="T101" s="20">
        <f>+COUNT('Current prices, current borders'!L101:S101)</f>
        <v>6</v>
      </c>
      <c r="U101" s="20"/>
      <c r="V101" s="20">
        <f>+COUNT('Current prices, 1913 borders'!B101:I101)</f>
        <v>6</v>
      </c>
      <c r="W101" s="20">
        <f>+COUNT('Current prices, 1913 borders'!L101:S101)</f>
        <v>6</v>
      </c>
      <c r="X101" s="20"/>
      <c r="Y101" s="20">
        <f>+COUNT('Constant prices, current border'!B101:I101)</f>
        <v>6</v>
      </c>
      <c r="Z101" s="20">
        <f>+COUNT('Constant prices, current border'!L101:S101)</f>
        <v>6</v>
      </c>
      <c r="AA101" s="20"/>
      <c r="AB101" s="20">
        <f>+COUNT('Constant prices, 1913 borders'!B101:I101)</f>
        <v>6</v>
      </c>
      <c r="AC101" s="20">
        <f>+COUNT('Constant prices, 1913 borders'!L101:S101)</f>
        <v>6</v>
      </c>
    </row>
    <row r="102" spans="1:29" x14ac:dyDescent="0.25">
      <c r="A102">
        <v>1895</v>
      </c>
      <c r="B102" s="21">
        <f>+SUM('Current prices, current borders'!B102:I102)</f>
        <v>159.08455140351546</v>
      </c>
      <c r="C102" s="21"/>
      <c r="D102" s="21">
        <f>+SUM('Current prices, current borders'!L102:S102)</f>
        <v>221.69332843294114</v>
      </c>
      <c r="E102" s="21"/>
      <c r="F102" s="21">
        <f>+SUM('Current prices, 1913 borders'!B102:I102)</f>
        <v>154.56855140351547</v>
      </c>
      <c r="G102" s="21"/>
      <c r="H102" s="21">
        <f>+SUM('Current prices, 1913 borders'!L102:S102)</f>
        <v>213.30132843294115</v>
      </c>
      <c r="I102" s="21"/>
      <c r="J102" s="21">
        <f>+SUM('Constant prices, current border'!B102:I102)</f>
        <v>191.00651814599749</v>
      </c>
      <c r="K102" s="21"/>
      <c r="L102" s="21">
        <f>+SUM('Constant prices, current border'!L102:S102)</f>
        <v>342.73679971851374</v>
      </c>
      <c r="M102" s="21"/>
      <c r="N102" s="21">
        <f>+SUM('Constant prices, 1913 borders'!B102:I102)</f>
        <v>185.54043683813924</v>
      </c>
      <c r="O102" s="21"/>
      <c r="P102" s="21">
        <f>+SUM('Constant prices, 1913 borders'!L102:S102)</f>
        <v>334.92378731721095</v>
      </c>
      <c r="Q102" s="3"/>
      <c r="R102" s="3"/>
      <c r="S102" s="20">
        <f>+COUNT('Current prices, current borders'!B102:I102)</f>
        <v>6</v>
      </c>
      <c r="T102" s="20">
        <f>+COUNT('Current prices, current borders'!L102:S102)</f>
        <v>6</v>
      </c>
      <c r="U102" s="20"/>
      <c r="V102" s="20">
        <f>+COUNT('Current prices, 1913 borders'!B102:I102)</f>
        <v>6</v>
      </c>
      <c r="W102" s="20">
        <f>+COUNT('Current prices, 1913 borders'!L102:S102)</f>
        <v>6</v>
      </c>
      <c r="X102" s="20"/>
      <c r="Y102" s="20">
        <f>+COUNT('Constant prices, current border'!B102:I102)</f>
        <v>6</v>
      </c>
      <c r="Z102" s="20">
        <f>+COUNT('Constant prices, current border'!L102:S102)</f>
        <v>6</v>
      </c>
      <c r="AA102" s="20"/>
      <c r="AB102" s="20">
        <f>+COUNT('Constant prices, 1913 borders'!B102:I102)</f>
        <v>6</v>
      </c>
      <c r="AC102" s="20">
        <f>+COUNT('Constant prices, 1913 borders'!L102:S102)</f>
        <v>6</v>
      </c>
    </row>
    <row r="103" spans="1:29" x14ac:dyDescent="0.25">
      <c r="A103">
        <v>1896</v>
      </c>
      <c r="B103" s="21">
        <f>+SUM('Current prices, current borders'!B103:I103)</f>
        <v>196.8455003124032</v>
      </c>
      <c r="C103" s="21"/>
      <c r="D103" s="21">
        <f>+SUM('Current prices, current borders'!L103:S103)</f>
        <v>227.10971124346199</v>
      </c>
      <c r="E103" s="21"/>
      <c r="F103" s="21">
        <f>+SUM('Current prices, 1913 borders'!B103:I103)</f>
        <v>191.3805003124032</v>
      </c>
      <c r="G103" s="21"/>
      <c r="H103" s="21">
        <f>+SUM('Current prices, 1913 borders'!L103:S103)</f>
        <v>211.64971124346198</v>
      </c>
      <c r="I103" s="21"/>
      <c r="J103" s="21">
        <f>+SUM('Constant prices, current border'!B103:I103)</f>
        <v>229.02631463070838</v>
      </c>
      <c r="K103" s="21"/>
      <c r="L103" s="21">
        <f>+SUM('Constant prices, current border'!L103:S103)</f>
        <v>325.82809277527201</v>
      </c>
      <c r="M103" s="21"/>
      <c r="N103" s="21">
        <f>+SUM('Constant prices, 1913 borders'!B103:I103)</f>
        <v>222.81411371903619</v>
      </c>
      <c r="O103" s="21"/>
      <c r="P103" s="21">
        <f>+SUM('Constant prices, 1913 borders'!L103:S103)</f>
        <v>312.42310292825664</v>
      </c>
      <c r="Q103" s="3"/>
      <c r="R103" s="3"/>
      <c r="S103" s="20">
        <f>+COUNT('Current prices, current borders'!B103:I103)</f>
        <v>6</v>
      </c>
      <c r="T103" s="20">
        <f>+COUNT('Current prices, current borders'!L103:S103)</f>
        <v>6</v>
      </c>
      <c r="U103" s="20"/>
      <c r="V103" s="20">
        <f>+COUNT('Current prices, 1913 borders'!B103:I103)</f>
        <v>6</v>
      </c>
      <c r="W103" s="20">
        <f>+COUNT('Current prices, 1913 borders'!L103:S103)</f>
        <v>6</v>
      </c>
      <c r="X103" s="20"/>
      <c r="Y103" s="20">
        <f>+COUNT('Constant prices, current border'!B103:I103)</f>
        <v>6</v>
      </c>
      <c r="Z103" s="20">
        <f>+COUNT('Constant prices, current border'!L103:S103)</f>
        <v>6</v>
      </c>
      <c r="AA103" s="20"/>
      <c r="AB103" s="20">
        <f>+COUNT('Constant prices, 1913 borders'!B103:I103)</f>
        <v>6</v>
      </c>
      <c r="AC103" s="20">
        <f>+COUNT('Constant prices, 1913 borders'!L103:S103)</f>
        <v>6</v>
      </c>
    </row>
    <row r="104" spans="1:29" x14ac:dyDescent="0.25">
      <c r="A104">
        <v>1897</v>
      </c>
      <c r="B104" s="21">
        <f>+SUM('Current prices, current borders'!B104:I104)</f>
        <v>209.42784453434629</v>
      </c>
      <c r="C104" s="21"/>
      <c r="D104" s="21">
        <f>+SUM('Current prices, current borders'!L104:S104)</f>
        <v>254.57699181730021</v>
      </c>
      <c r="E104" s="21"/>
      <c r="F104" s="21">
        <f>+SUM('Current prices, 1913 borders'!B104:I104)</f>
        <v>202.62784453434631</v>
      </c>
      <c r="G104" s="21"/>
      <c r="H104" s="21">
        <f>+SUM('Current prices, 1913 borders'!L104:S104)</f>
        <v>238.61499181730022</v>
      </c>
      <c r="I104" s="21"/>
      <c r="J104" s="21">
        <f>+SUM('Constant prices, current border'!B104:I104)</f>
        <v>240.54762382799518</v>
      </c>
      <c r="K104" s="21"/>
      <c r="L104" s="21">
        <f>+SUM('Constant prices, current border'!L104:S104)</f>
        <v>386.3817552845303</v>
      </c>
      <c r="M104" s="21"/>
      <c r="N104" s="21">
        <f>+SUM('Constant prices, 1913 borders'!B104:I104)</f>
        <v>233.26297223133122</v>
      </c>
      <c r="O104" s="21"/>
      <c r="P104" s="21">
        <f>+SUM('Constant prices, 1913 borders'!L104:S104)</f>
        <v>369.40152563092943</v>
      </c>
      <c r="Q104" s="3"/>
      <c r="R104" s="3"/>
      <c r="S104" s="20">
        <f>+COUNT('Current prices, current borders'!B104:I104)</f>
        <v>6</v>
      </c>
      <c r="T104" s="20">
        <f>+COUNT('Current prices, current borders'!L104:S104)</f>
        <v>6</v>
      </c>
      <c r="U104" s="20"/>
      <c r="V104" s="20">
        <f>+COUNT('Current prices, 1913 borders'!B104:I104)</f>
        <v>6</v>
      </c>
      <c r="W104" s="20">
        <f>+COUNT('Current prices, 1913 borders'!L104:S104)</f>
        <v>6</v>
      </c>
      <c r="X104" s="20"/>
      <c r="Y104" s="20">
        <f>+COUNT('Constant prices, current border'!B104:I104)</f>
        <v>6</v>
      </c>
      <c r="Z104" s="20">
        <f>+COUNT('Constant prices, current border'!L104:S104)</f>
        <v>6</v>
      </c>
      <c r="AA104" s="20"/>
      <c r="AB104" s="20">
        <f>+COUNT('Constant prices, 1913 borders'!B104:I104)</f>
        <v>6</v>
      </c>
      <c r="AC104" s="20">
        <f>+COUNT('Constant prices, 1913 borders'!L104:S104)</f>
        <v>6</v>
      </c>
    </row>
    <row r="105" spans="1:29" x14ac:dyDescent="0.25">
      <c r="A105">
        <v>1898</v>
      </c>
      <c r="B105" s="21">
        <f>+SUM('Current prices, current borders'!B105:I105)</f>
        <v>210.28211929777135</v>
      </c>
      <c r="C105" s="21"/>
      <c r="D105" s="21">
        <f>+SUM('Current prices, current borders'!L105:S105)</f>
        <v>269.35408696789312</v>
      </c>
      <c r="E105" s="21"/>
      <c r="F105" s="21">
        <f>+SUM('Current prices, 1913 borders'!B105:I105)</f>
        <v>201.58611929777135</v>
      </c>
      <c r="G105" s="21"/>
      <c r="H105" s="21">
        <f>+SUM('Current prices, 1913 borders'!L105:S105)</f>
        <v>252.09808696789312</v>
      </c>
      <c r="I105" s="21"/>
      <c r="J105" s="21">
        <f>+SUM('Constant prices, current border'!B105:I105)</f>
        <v>236.1838529923929</v>
      </c>
      <c r="K105" s="21"/>
      <c r="L105" s="21">
        <f>+SUM('Constant prices, current border'!L105:S105)</f>
        <v>394.46174010597912</v>
      </c>
      <c r="M105" s="21"/>
      <c r="N105" s="21">
        <f>+SUM('Constant prices, 1913 borders'!B105:I105)</f>
        <v>227.45484489686802</v>
      </c>
      <c r="O105" s="21"/>
      <c r="P105" s="21">
        <f>+SUM('Constant prices, 1913 borders'!L105:S105)</f>
        <v>376.37104542265217</v>
      </c>
      <c r="Q105" s="3"/>
      <c r="R105" s="3"/>
      <c r="S105" s="20">
        <f>+COUNT('Current prices, current borders'!B105:I105)</f>
        <v>6</v>
      </c>
      <c r="T105" s="20">
        <f>+COUNT('Current prices, current borders'!L105:S105)</f>
        <v>6</v>
      </c>
      <c r="U105" s="20"/>
      <c r="V105" s="20">
        <f>+COUNT('Current prices, 1913 borders'!B105:I105)</f>
        <v>6</v>
      </c>
      <c r="W105" s="20">
        <f>+COUNT('Current prices, 1913 borders'!L105:S105)</f>
        <v>6</v>
      </c>
      <c r="X105" s="20"/>
      <c r="Y105" s="20">
        <f>+COUNT('Constant prices, current border'!B105:I105)</f>
        <v>6</v>
      </c>
      <c r="Z105" s="20">
        <f>+COUNT('Constant prices, current border'!L105:S105)</f>
        <v>6</v>
      </c>
      <c r="AA105" s="20"/>
      <c r="AB105" s="20">
        <f>+COUNT('Constant prices, 1913 borders'!B105:I105)</f>
        <v>6</v>
      </c>
      <c r="AC105" s="20">
        <f>+COUNT('Constant prices, 1913 borders'!L105:S105)</f>
        <v>6</v>
      </c>
    </row>
    <row r="106" spans="1:29" x14ac:dyDescent="0.25">
      <c r="A106">
        <v>1899</v>
      </c>
      <c r="B106" s="21">
        <f>+SUM('Current prices, current borders'!B106:I106)</f>
        <v>235.17251889470549</v>
      </c>
      <c r="C106" s="21"/>
      <c r="D106" s="21">
        <f>+SUM('Current prices, current borders'!L106:S106)</f>
        <v>324.48214532858157</v>
      </c>
      <c r="E106" s="21"/>
      <c r="F106" s="21">
        <f>+SUM('Current prices, 1913 borders'!B106:I106)</f>
        <v>220.15151889470548</v>
      </c>
      <c r="G106" s="21"/>
      <c r="H106" s="21">
        <f>+SUM('Current prices, 1913 borders'!L106:S106)</f>
        <v>301.96314532858156</v>
      </c>
      <c r="I106" s="21"/>
      <c r="J106" s="21">
        <f>+SUM('Constant prices, current border'!B106:I106)</f>
        <v>262.4735631970716</v>
      </c>
      <c r="K106" s="21"/>
      <c r="L106" s="21">
        <f>+SUM('Constant prices, current border'!L106:S106)</f>
        <v>400.31860840264596</v>
      </c>
      <c r="M106" s="21"/>
      <c r="N106" s="21">
        <f>+SUM('Constant prices, 1913 borders'!B106:I106)</f>
        <v>246.70396306030187</v>
      </c>
      <c r="O106" s="21"/>
      <c r="P106" s="21">
        <f>+SUM('Constant prices, 1913 borders'!L106:S106)</f>
        <v>378.24273944222949</v>
      </c>
      <c r="Q106" s="3"/>
      <c r="R106" s="3"/>
      <c r="S106" s="20">
        <f>+COUNT('Current prices, current borders'!B106:I106)</f>
        <v>6</v>
      </c>
      <c r="T106" s="20">
        <f>+COUNT('Current prices, current borders'!L106:S106)</f>
        <v>6</v>
      </c>
      <c r="U106" s="20"/>
      <c r="V106" s="20">
        <f>+COUNT('Current prices, 1913 borders'!B106:I106)</f>
        <v>6</v>
      </c>
      <c r="W106" s="20">
        <f>+COUNT('Current prices, 1913 borders'!L106:S106)</f>
        <v>6</v>
      </c>
      <c r="X106" s="20"/>
      <c r="Y106" s="20">
        <f>+COUNT('Constant prices, current border'!B106:I106)</f>
        <v>6</v>
      </c>
      <c r="Z106" s="20">
        <f>+COUNT('Constant prices, current border'!L106:S106)</f>
        <v>6</v>
      </c>
      <c r="AA106" s="20"/>
      <c r="AB106" s="20">
        <f>+COUNT('Constant prices, 1913 borders'!B106:I106)</f>
        <v>6</v>
      </c>
      <c r="AC106" s="20">
        <f>+COUNT('Constant prices, 1913 borders'!L106:S106)</f>
        <v>6</v>
      </c>
    </row>
    <row r="107" spans="1:29" x14ac:dyDescent="0.25">
      <c r="A107">
        <v>1900</v>
      </c>
      <c r="B107" s="21">
        <f>+SUM('Current prices, current borders'!B107:I107)</f>
        <v>276.07566738476788</v>
      </c>
      <c r="C107" s="21"/>
      <c r="D107" s="21">
        <f>+SUM('Current prices, current borders'!L107:S107)</f>
        <v>320.52990297003271</v>
      </c>
      <c r="E107" s="21"/>
      <c r="F107" s="21">
        <f>+SUM('Current prices, 1913 borders'!B107:I107)</f>
        <v>260.95566738476788</v>
      </c>
      <c r="G107" s="21"/>
      <c r="H107" s="21">
        <f>+SUM('Current prices, 1913 borders'!L107:S107)</f>
        <v>293.97990297003275</v>
      </c>
      <c r="I107" s="21"/>
      <c r="J107" s="21">
        <f>+SUM('Constant prices, current border'!B107:I107)</f>
        <v>290.83596202128444</v>
      </c>
      <c r="K107" s="21"/>
      <c r="L107" s="21">
        <f>+SUM('Constant prices, current border'!L107:S107)</f>
        <v>412.00737868402598</v>
      </c>
      <c r="M107" s="21"/>
      <c r="N107" s="21">
        <f>+SUM('Constant prices, 1913 borders'!B107:I107)</f>
        <v>275.72062370014652</v>
      </c>
      <c r="O107" s="21"/>
      <c r="P107" s="21">
        <f>+SUM('Constant prices, 1913 borders'!L107:S107)</f>
        <v>385.46556437012316</v>
      </c>
      <c r="Q107" s="3"/>
      <c r="R107" s="3"/>
      <c r="S107" s="20">
        <f>+COUNT('Current prices, current borders'!B107:I107)</f>
        <v>6</v>
      </c>
      <c r="T107" s="20">
        <f>+COUNT('Current prices, current borders'!L107:S107)</f>
        <v>6</v>
      </c>
      <c r="U107" s="20"/>
      <c r="V107" s="20">
        <f>+COUNT('Current prices, 1913 borders'!B107:I107)</f>
        <v>6</v>
      </c>
      <c r="W107" s="20">
        <f>+COUNT('Current prices, 1913 borders'!L107:S107)</f>
        <v>6</v>
      </c>
      <c r="X107" s="20"/>
      <c r="Y107" s="20">
        <f>+COUNT('Constant prices, current border'!B107:I107)</f>
        <v>6</v>
      </c>
      <c r="Z107" s="20">
        <f>+COUNT('Constant prices, current border'!L107:S107)</f>
        <v>6</v>
      </c>
      <c r="AA107" s="20"/>
      <c r="AB107" s="20">
        <f>+COUNT('Constant prices, 1913 borders'!B107:I107)</f>
        <v>6</v>
      </c>
      <c r="AC107" s="20">
        <f>+COUNT('Constant prices, 1913 borders'!L107:S107)</f>
        <v>6</v>
      </c>
    </row>
    <row r="108" spans="1:29" x14ac:dyDescent="0.25">
      <c r="A108">
        <v>1901</v>
      </c>
      <c r="B108" s="21">
        <f>+SUM('Current prices, current borders'!B108:I108)</f>
        <v>261.13222770390701</v>
      </c>
      <c r="C108" s="21"/>
      <c r="D108" s="21">
        <f>+SUM('Current prices, current borders'!L108:S108)</f>
        <v>242.59162529642126</v>
      </c>
      <c r="E108" s="21"/>
      <c r="F108" s="21">
        <f>+SUM('Current prices, 1913 borders'!B108:I108)</f>
        <v>261.13222770390701</v>
      </c>
      <c r="G108" s="21"/>
      <c r="H108" s="21">
        <f>+SUM('Current prices, 1913 borders'!L108:S108)</f>
        <v>242.59162529642126</v>
      </c>
      <c r="I108" s="21"/>
      <c r="J108" s="21">
        <f>+SUM('Constant prices, current border'!B108:I108)</f>
        <v>279.25426713075649</v>
      </c>
      <c r="K108" s="21"/>
      <c r="L108" s="21">
        <f>+SUM('Constant prices, current border'!L108:S108)</f>
        <v>320.02879836522857</v>
      </c>
      <c r="M108" s="21"/>
      <c r="N108" s="21">
        <f>+SUM('Constant prices, 1913 borders'!B108:I108)</f>
        <v>279.25426713075649</v>
      </c>
      <c r="O108" s="21"/>
      <c r="P108" s="21">
        <f>+SUM('Constant prices, 1913 borders'!L108:S108)</f>
        <v>320.02879836522857</v>
      </c>
      <c r="Q108" s="3"/>
      <c r="R108" s="3"/>
      <c r="S108" s="20">
        <f>+COUNT('Current prices, current borders'!B108:I108)</f>
        <v>5</v>
      </c>
      <c r="T108" s="20">
        <f>+COUNT('Current prices, current borders'!L108:S108)</f>
        <v>5</v>
      </c>
      <c r="U108" s="20"/>
      <c r="V108" s="20">
        <f>+COUNT('Current prices, 1913 borders'!B108:I108)</f>
        <v>5</v>
      </c>
      <c r="W108" s="20">
        <f>+COUNT('Current prices, 1913 borders'!L108:S108)</f>
        <v>5</v>
      </c>
      <c r="X108" s="20"/>
      <c r="Y108" s="20">
        <f>+COUNT('Constant prices, current border'!B108:I108)</f>
        <v>5</v>
      </c>
      <c r="Z108" s="20">
        <f>+COUNT('Constant prices, current border'!L108:S108)</f>
        <v>5</v>
      </c>
      <c r="AA108" s="20"/>
      <c r="AB108" s="20">
        <f>+COUNT('Constant prices, 1913 borders'!B108:I108)</f>
        <v>5</v>
      </c>
      <c r="AC108" s="20">
        <f>+COUNT('Constant prices, 1913 borders'!L108:S108)</f>
        <v>5</v>
      </c>
    </row>
    <row r="109" spans="1:29" x14ac:dyDescent="0.25">
      <c r="A109">
        <v>1902</v>
      </c>
      <c r="B109" s="21">
        <f>+SUM('Current prices, current borders'!B109:I109)</f>
        <v>250.12540115622778</v>
      </c>
      <c r="C109" s="21"/>
      <c r="D109" s="21">
        <f>+SUM('Current prices, current borders'!L109:S109)</f>
        <v>217.078437262036</v>
      </c>
      <c r="E109" s="21"/>
      <c r="F109" s="21">
        <f>+SUM('Current prices, 1913 borders'!B109:I109)</f>
        <v>250.12540115622778</v>
      </c>
      <c r="G109" s="21"/>
      <c r="H109" s="21">
        <f>+SUM('Current prices, 1913 borders'!L109:S109)</f>
        <v>217.078437262036</v>
      </c>
      <c r="I109" s="21"/>
      <c r="J109" s="21">
        <f>+SUM('Constant prices, current border'!B109:I109)</f>
        <v>275.92305474364355</v>
      </c>
      <c r="K109" s="21"/>
      <c r="L109" s="21">
        <f>+SUM('Constant prices, current border'!L109:S109)</f>
        <v>282.28011775457975</v>
      </c>
      <c r="M109" s="21"/>
      <c r="N109" s="21">
        <f>+SUM('Constant prices, 1913 borders'!B109:I109)</f>
        <v>275.92305474364355</v>
      </c>
      <c r="O109" s="21"/>
      <c r="P109" s="21">
        <f>+SUM('Constant prices, 1913 borders'!L109:S109)</f>
        <v>282.28011775457975</v>
      </c>
      <c r="Q109" s="3"/>
      <c r="R109" s="3"/>
      <c r="S109" s="20">
        <f>+COUNT('Current prices, current borders'!B109:I109)</f>
        <v>5</v>
      </c>
      <c r="T109" s="20">
        <f>+COUNT('Current prices, current borders'!L109:S109)</f>
        <v>5</v>
      </c>
      <c r="U109" s="20"/>
      <c r="V109" s="20">
        <f>+COUNT('Current prices, 1913 borders'!B109:I109)</f>
        <v>5</v>
      </c>
      <c r="W109" s="20">
        <f>+COUNT('Current prices, 1913 borders'!L109:S109)</f>
        <v>5</v>
      </c>
      <c r="X109" s="20"/>
      <c r="Y109" s="20">
        <f>+COUNT('Constant prices, current border'!B109:I109)</f>
        <v>5</v>
      </c>
      <c r="Z109" s="20">
        <f>+COUNT('Constant prices, current border'!L109:S109)</f>
        <v>5</v>
      </c>
      <c r="AA109" s="20"/>
      <c r="AB109" s="20">
        <f>+COUNT('Constant prices, 1913 borders'!B109:I109)</f>
        <v>5</v>
      </c>
      <c r="AC109" s="20">
        <f>+COUNT('Constant prices, 1913 borders'!L109:S109)</f>
        <v>5</v>
      </c>
    </row>
    <row r="110" spans="1:29" x14ac:dyDescent="0.25">
      <c r="A110">
        <v>1903</v>
      </c>
      <c r="B110" s="21">
        <f>+SUM('Current prices, current borders'!B110:I110)</f>
        <v>242.74282190726919</v>
      </c>
      <c r="C110" s="21"/>
      <c r="D110" s="21">
        <f>+SUM('Current prices, current borders'!L110:S110)</f>
        <v>224.28825912507557</v>
      </c>
      <c r="E110" s="21"/>
      <c r="F110" s="21">
        <f>+SUM('Current prices, 1913 borders'!B110:I110)</f>
        <v>242.74282190726919</v>
      </c>
      <c r="G110" s="21"/>
      <c r="H110" s="21">
        <f>+SUM('Current prices, 1913 borders'!L110:S110)</f>
        <v>224.28825912507557</v>
      </c>
      <c r="I110" s="21"/>
      <c r="J110" s="21">
        <f>+SUM('Constant prices, current border'!B110:I110)</f>
        <v>270.66867786289203</v>
      </c>
      <c r="K110" s="21"/>
      <c r="L110" s="21">
        <f>+SUM('Constant prices, current border'!L110:S110)</f>
        <v>276.47435952215687</v>
      </c>
      <c r="M110" s="21"/>
      <c r="N110" s="21">
        <f>+SUM('Constant prices, 1913 borders'!B110:I110)</f>
        <v>270.66867786289203</v>
      </c>
      <c r="O110" s="21"/>
      <c r="P110" s="21">
        <f>+SUM('Constant prices, 1913 borders'!L110:S110)</f>
        <v>276.47435952215687</v>
      </c>
      <c r="Q110" s="3"/>
      <c r="R110" s="3"/>
      <c r="S110" s="20">
        <f>+COUNT('Current prices, current borders'!B110:I110)</f>
        <v>5</v>
      </c>
      <c r="T110" s="20">
        <f>+COUNT('Current prices, current borders'!L110:S110)</f>
        <v>5</v>
      </c>
      <c r="U110" s="20"/>
      <c r="V110" s="20">
        <f>+COUNT('Current prices, 1913 borders'!B110:I110)</f>
        <v>5</v>
      </c>
      <c r="W110" s="20">
        <f>+COUNT('Current prices, 1913 borders'!L110:S110)</f>
        <v>5</v>
      </c>
      <c r="X110" s="20"/>
      <c r="Y110" s="20">
        <f>+COUNT('Constant prices, current border'!B110:I110)</f>
        <v>5</v>
      </c>
      <c r="Z110" s="20">
        <f>+COUNT('Constant prices, current border'!L110:S110)</f>
        <v>5</v>
      </c>
      <c r="AA110" s="20"/>
      <c r="AB110" s="20">
        <f>+COUNT('Constant prices, 1913 borders'!B110:I110)</f>
        <v>5</v>
      </c>
      <c r="AC110" s="20">
        <f>+COUNT('Constant prices, 1913 borders'!L110:S110)</f>
        <v>5</v>
      </c>
    </row>
    <row r="111" spans="1:29" x14ac:dyDescent="0.25">
      <c r="A111">
        <v>1904</v>
      </c>
      <c r="B111" s="21">
        <f>+SUM('Current prices, current borders'!B111:I111)</f>
        <v>241.37422927450436</v>
      </c>
      <c r="C111" s="21"/>
      <c r="D111" s="21">
        <f>+SUM('Current prices, current borders'!L111:S111)</f>
        <v>272.23378583010924</v>
      </c>
      <c r="E111" s="21"/>
      <c r="F111" s="21">
        <f>+SUM('Current prices, 1913 borders'!B111:I111)</f>
        <v>241.37422927450436</v>
      </c>
      <c r="G111" s="21"/>
      <c r="H111" s="21">
        <f>+SUM('Current prices, 1913 borders'!L111:S111)</f>
        <v>272.23378583010924</v>
      </c>
      <c r="I111" s="21"/>
      <c r="J111" s="21">
        <f>+SUM('Constant prices, current border'!B111:I111)</f>
        <v>270.9411435985981</v>
      </c>
      <c r="K111" s="21"/>
      <c r="L111" s="21">
        <f>+SUM('Constant prices, current border'!L111:S111)</f>
        <v>318.59221204342839</v>
      </c>
      <c r="M111" s="21"/>
      <c r="N111" s="21">
        <f>+SUM('Constant prices, 1913 borders'!B111:I111)</f>
        <v>270.9411435985981</v>
      </c>
      <c r="O111" s="21"/>
      <c r="P111" s="21">
        <f>+SUM('Constant prices, 1913 borders'!L111:S111)</f>
        <v>318.59221204342839</v>
      </c>
      <c r="Q111" s="3"/>
      <c r="R111" s="3"/>
      <c r="S111" s="20">
        <f>+COUNT('Current prices, current borders'!B111:I111)</f>
        <v>5</v>
      </c>
      <c r="T111" s="20">
        <f>+COUNT('Current prices, current borders'!L111:S111)</f>
        <v>5</v>
      </c>
      <c r="U111" s="20"/>
      <c r="V111" s="20">
        <f>+COUNT('Current prices, 1913 borders'!B111:I111)</f>
        <v>5</v>
      </c>
      <c r="W111" s="20">
        <f>+COUNT('Current prices, 1913 borders'!L111:S111)</f>
        <v>5</v>
      </c>
      <c r="X111" s="20"/>
      <c r="Y111" s="20">
        <f>+COUNT('Constant prices, current border'!B111:I111)</f>
        <v>5</v>
      </c>
      <c r="Z111" s="20">
        <f>+COUNT('Constant prices, current border'!L111:S111)</f>
        <v>5</v>
      </c>
      <c r="AA111" s="20"/>
      <c r="AB111" s="20">
        <f>+COUNT('Constant prices, 1913 borders'!B111:I111)</f>
        <v>5</v>
      </c>
      <c r="AC111" s="20">
        <f>+COUNT('Constant prices, 1913 borders'!L111:S111)</f>
        <v>5</v>
      </c>
    </row>
    <row r="112" spans="1:29" x14ac:dyDescent="0.25">
      <c r="A112">
        <v>1905</v>
      </c>
      <c r="B112" s="21">
        <f>+SUM('Current prices, current borders'!B112:I112)</f>
        <v>243.18282459583136</v>
      </c>
      <c r="C112" s="21"/>
      <c r="D112" s="21">
        <f>+SUM('Current prices, current borders'!L112:S112)</f>
        <v>302.75371115751238</v>
      </c>
      <c r="E112" s="21"/>
      <c r="F112" s="21">
        <f>+SUM('Current prices, 1913 borders'!B112:I112)</f>
        <v>243.18282459583136</v>
      </c>
      <c r="G112" s="21"/>
      <c r="H112" s="21">
        <f>+SUM('Current prices, 1913 borders'!L112:S112)</f>
        <v>302.75371115751238</v>
      </c>
      <c r="I112" s="21"/>
      <c r="J112" s="21">
        <f>+SUM('Constant prices, current border'!B112:I112)</f>
        <v>270.44166595703626</v>
      </c>
      <c r="K112" s="21"/>
      <c r="L112" s="21">
        <f>+SUM('Constant prices, current border'!L112:S112)</f>
        <v>334.79734253016397</v>
      </c>
      <c r="M112" s="21"/>
      <c r="N112" s="21">
        <f>+SUM('Constant prices, 1913 borders'!B112:I112)</f>
        <v>270.44166595703626</v>
      </c>
      <c r="O112" s="21"/>
      <c r="P112" s="21">
        <f>+SUM('Constant prices, 1913 borders'!L112:S112)</f>
        <v>334.79734253016397</v>
      </c>
      <c r="Q112" s="3"/>
      <c r="R112" s="3"/>
      <c r="S112" s="20">
        <f>+COUNT('Current prices, current borders'!B112:I112)</f>
        <v>5</v>
      </c>
      <c r="T112" s="20">
        <f>+COUNT('Current prices, current borders'!L112:S112)</f>
        <v>5</v>
      </c>
      <c r="U112" s="20"/>
      <c r="V112" s="20">
        <f>+COUNT('Current prices, 1913 borders'!B112:I112)</f>
        <v>5</v>
      </c>
      <c r="W112" s="20">
        <f>+COUNT('Current prices, 1913 borders'!L112:S112)</f>
        <v>5</v>
      </c>
      <c r="X112" s="20"/>
      <c r="Y112" s="20">
        <f>+COUNT('Constant prices, current border'!B112:I112)</f>
        <v>5</v>
      </c>
      <c r="Z112" s="20">
        <f>+COUNT('Constant prices, current border'!L112:S112)</f>
        <v>5</v>
      </c>
      <c r="AA112" s="20"/>
      <c r="AB112" s="20">
        <f>+COUNT('Constant prices, 1913 borders'!B112:I112)</f>
        <v>5</v>
      </c>
      <c r="AC112" s="20">
        <f>+COUNT('Constant prices, 1913 borders'!L112:S112)</f>
        <v>5</v>
      </c>
    </row>
    <row r="113" spans="1:29" x14ac:dyDescent="0.25">
      <c r="A113">
        <v>1906</v>
      </c>
      <c r="B113" s="21">
        <f>+SUM('Current prices, current borders'!B113:I113)</f>
        <v>282.86392577062566</v>
      </c>
      <c r="C113" s="21"/>
      <c r="D113" s="21">
        <f>+SUM('Current prices, current borders'!L113:S113)</f>
        <v>351.77436850691305</v>
      </c>
      <c r="E113" s="21"/>
      <c r="F113" s="21">
        <f>+SUM('Current prices, 1913 borders'!B113:I113)</f>
        <v>282.86392577062566</v>
      </c>
      <c r="G113" s="21"/>
      <c r="H113" s="21">
        <f>+SUM('Current prices, 1913 borders'!L113:S113)</f>
        <v>351.77436850691305</v>
      </c>
      <c r="I113" s="21"/>
      <c r="J113" s="21">
        <f>+SUM('Constant prices, current border'!B113:I113)</f>
        <v>297.46409753206478</v>
      </c>
      <c r="K113" s="21"/>
      <c r="L113" s="21">
        <f>+SUM('Constant prices, current border'!L113:S113)</f>
        <v>367.97481110599608</v>
      </c>
      <c r="M113" s="21"/>
      <c r="N113" s="21">
        <f>+SUM('Constant prices, 1913 borders'!B113:I113)</f>
        <v>297.46409753206478</v>
      </c>
      <c r="O113" s="21"/>
      <c r="P113" s="21">
        <f>+SUM('Constant prices, 1913 borders'!L113:S113)</f>
        <v>367.97481110599608</v>
      </c>
      <c r="Q113" s="3"/>
      <c r="R113" s="3"/>
      <c r="S113" s="20">
        <f>+COUNT('Current prices, current borders'!B113:I113)</f>
        <v>5</v>
      </c>
      <c r="T113" s="20">
        <f>+COUNT('Current prices, current borders'!L113:S113)</f>
        <v>5</v>
      </c>
      <c r="U113" s="20"/>
      <c r="V113" s="20">
        <f>+COUNT('Current prices, 1913 borders'!B113:I113)</f>
        <v>5</v>
      </c>
      <c r="W113" s="20">
        <f>+COUNT('Current prices, 1913 borders'!L113:S113)</f>
        <v>5</v>
      </c>
      <c r="X113" s="20"/>
      <c r="Y113" s="20">
        <f>+COUNT('Constant prices, current border'!B113:I113)</f>
        <v>5</v>
      </c>
      <c r="Z113" s="20">
        <f>+COUNT('Constant prices, current border'!L113:S113)</f>
        <v>5</v>
      </c>
      <c r="AA113" s="20"/>
      <c r="AB113" s="20">
        <f>+COUNT('Constant prices, 1913 borders'!B113:I113)</f>
        <v>5</v>
      </c>
      <c r="AC113" s="20">
        <f>+COUNT('Constant prices, 1913 borders'!L113:S113)</f>
        <v>5</v>
      </c>
    </row>
    <row r="114" spans="1:29" x14ac:dyDescent="0.25">
      <c r="A114">
        <v>1907</v>
      </c>
      <c r="B114" s="21">
        <f>+SUM('Current prices, current borders'!B114:I114)</f>
        <v>330.21000387315763</v>
      </c>
      <c r="C114" s="21"/>
      <c r="D114" s="21">
        <f>+SUM('Current prices, current borders'!L114:S114)</f>
        <v>408.28749781035742</v>
      </c>
      <c r="E114" s="21"/>
      <c r="F114" s="21">
        <f>+SUM('Current prices, 1913 borders'!B114:I114)</f>
        <v>330.21000387315763</v>
      </c>
      <c r="G114" s="21"/>
      <c r="H114" s="21">
        <f>+SUM('Current prices, 1913 borders'!L114:S114)</f>
        <v>408.28749781035742</v>
      </c>
      <c r="I114" s="21"/>
      <c r="J114" s="21">
        <f>+SUM('Constant prices, current border'!B114:I114)</f>
        <v>336.36280952468366</v>
      </c>
      <c r="K114" s="21"/>
      <c r="L114" s="21">
        <f>+SUM('Constant prices, current border'!L114:S114)</f>
        <v>420.05913957202745</v>
      </c>
      <c r="M114" s="21"/>
      <c r="N114" s="21">
        <f>+SUM('Constant prices, 1913 borders'!B114:I114)</f>
        <v>336.36280952468366</v>
      </c>
      <c r="O114" s="21"/>
      <c r="P114" s="21">
        <f>+SUM('Constant prices, 1913 borders'!L114:S114)</f>
        <v>420.05913957202745</v>
      </c>
      <c r="Q114" s="3"/>
      <c r="R114" s="3"/>
      <c r="S114" s="20">
        <f>+COUNT('Current prices, current borders'!B114:I114)</f>
        <v>5</v>
      </c>
      <c r="T114" s="20">
        <f>+COUNT('Current prices, current borders'!L114:S114)</f>
        <v>5</v>
      </c>
      <c r="U114" s="20"/>
      <c r="V114" s="20">
        <f>+COUNT('Current prices, 1913 borders'!B114:I114)</f>
        <v>5</v>
      </c>
      <c r="W114" s="20">
        <f>+COUNT('Current prices, 1913 borders'!L114:S114)</f>
        <v>5</v>
      </c>
      <c r="X114" s="20"/>
      <c r="Y114" s="20">
        <f>+COUNT('Constant prices, current border'!B114:I114)</f>
        <v>5</v>
      </c>
      <c r="Z114" s="20">
        <f>+COUNT('Constant prices, current border'!L114:S114)</f>
        <v>5</v>
      </c>
      <c r="AA114" s="20"/>
      <c r="AB114" s="20">
        <f>+COUNT('Constant prices, 1913 borders'!B114:I114)</f>
        <v>5</v>
      </c>
      <c r="AC114" s="20">
        <f>+COUNT('Constant prices, 1913 borders'!L114:S114)</f>
        <v>5</v>
      </c>
    </row>
    <row r="115" spans="1:29" x14ac:dyDescent="0.25">
      <c r="A115">
        <v>1908</v>
      </c>
      <c r="B115" s="21">
        <f>+SUM('Current prices, current borders'!B115:I115)</f>
        <v>326.61868844312113</v>
      </c>
      <c r="C115" s="21"/>
      <c r="D115" s="21">
        <f>+SUM('Current prices, current borders'!L115:S115)</f>
        <v>333.69891046745795</v>
      </c>
      <c r="E115" s="21"/>
      <c r="F115" s="21">
        <f>+SUM('Current prices, 1913 borders'!B115:I115)</f>
        <v>326.61868844312113</v>
      </c>
      <c r="G115" s="21"/>
      <c r="H115" s="21">
        <f>+SUM('Current prices, 1913 borders'!L115:S115)</f>
        <v>333.69891046745795</v>
      </c>
      <c r="I115" s="21"/>
      <c r="J115" s="21">
        <f>+SUM('Constant prices, current border'!B115:I115)</f>
        <v>339.49463456051052</v>
      </c>
      <c r="K115" s="21"/>
      <c r="L115" s="21">
        <f>+SUM('Constant prices, current border'!L115:S115)</f>
        <v>360.90918874515756</v>
      </c>
      <c r="M115" s="21"/>
      <c r="N115" s="21">
        <f>+SUM('Constant prices, 1913 borders'!B115:I115)</f>
        <v>339.49463456051052</v>
      </c>
      <c r="O115" s="21"/>
      <c r="P115" s="21">
        <f>+SUM('Constant prices, 1913 borders'!L115:S115)</f>
        <v>360.90918874515756</v>
      </c>
      <c r="Q115" s="3"/>
      <c r="R115" s="3"/>
      <c r="S115" s="20">
        <f>+COUNT('Current prices, current borders'!B115:I115)</f>
        <v>5</v>
      </c>
      <c r="T115" s="20">
        <f>+COUNT('Current prices, current borders'!L115:S115)</f>
        <v>5</v>
      </c>
      <c r="U115" s="20"/>
      <c r="V115" s="20">
        <f>+COUNT('Current prices, 1913 borders'!B115:I115)</f>
        <v>5</v>
      </c>
      <c r="W115" s="20">
        <f>+COUNT('Current prices, 1913 borders'!L115:S115)</f>
        <v>5</v>
      </c>
      <c r="X115" s="20"/>
      <c r="Y115" s="20">
        <f>+COUNT('Constant prices, current border'!B115:I115)</f>
        <v>5</v>
      </c>
      <c r="Z115" s="20">
        <f>+COUNT('Constant prices, current border'!L115:S115)</f>
        <v>5</v>
      </c>
      <c r="AA115" s="20"/>
      <c r="AB115" s="20">
        <f>+COUNT('Constant prices, 1913 borders'!B115:I115)</f>
        <v>5</v>
      </c>
      <c r="AC115" s="20">
        <f>+COUNT('Constant prices, 1913 borders'!L115:S115)</f>
        <v>5</v>
      </c>
    </row>
    <row r="116" spans="1:29" x14ac:dyDescent="0.25">
      <c r="A116">
        <v>1909</v>
      </c>
      <c r="B116" s="21">
        <f>+SUM('Current prices, current borders'!B116:I116)</f>
        <v>324.70873514537118</v>
      </c>
      <c r="C116" s="21"/>
      <c r="D116" s="21">
        <f>+SUM('Current prices, current borders'!L116:S116)</f>
        <v>383.67124951690818</v>
      </c>
      <c r="E116" s="21"/>
      <c r="F116" s="21">
        <f>+SUM('Current prices, 1913 borders'!B116:I116)</f>
        <v>324.70873514537118</v>
      </c>
      <c r="G116" s="21"/>
      <c r="H116" s="21">
        <f>+SUM('Current prices, 1913 borders'!L116:S116)</f>
        <v>383.67124951690818</v>
      </c>
      <c r="I116" s="21"/>
      <c r="J116" s="21">
        <f>+SUM('Constant prices, current border'!B116:I116)</f>
        <v>341.748979336339</v>
      </c>
      <c r="K116" s="21"/>
      <c r="L116" s="21">
        <f>+SUM('Constant prices, current border'!L116:S116)</f>
        <v>425.34742071433334</v>
      </c>
      <c r="M116" s="21"/>
      <c r="N116" s="21">
        <f>+SUM('Constant prices, 1913 borders'!B116:I116)</f>
        <v>341.748979336339</v>
      </c>
      <c r="O116" s="21"/>
      <c r="P116" s="21">
        <f>+SUM('Constant prices, 1913 borders'!L116:S116)</f>
        <v>425.34742071433334</v>
      </c>
      <c r="Q116" s="3"/>
      <c r="R116" s="3"/>
      <c r="S116" s="20">
        <f>+COUNT('Current prices, current borders'!B116:I116)</f>
        <v>5</v>
      </c>
      <c r="T116" s="20">
        <f>+COUNT('Current prices, current borders'!L116:S116)</f>
        <v>5</v>
      </c>
      <c r="U116" s="20"/>
      <c r="V116" s="20">
        <f>+COUNT('Current prices, 1913 borders'!B116:I116)</f>
        <v>5</v>
      </c>
      <c r="W116" s="20">
        <f>+COUNT('Current prices, 1913 borders'!L116:S116)</f>
        <v>5</v>
      </c>
      <c r="X116" s="20"/>
      <c r="Y116" s="20">
        <f>+COUNT('Constant prices, current border'!B116:I116)</f>
        <v>5</v>
      </c>
      <c r="Z116" s="20">
        <f>+COUNT('Constant prices, current border'!L116:S116)</f>
        <v>5</v>
      </c>
      <c r="AA116" s="20"/>
      <c r="AB116" s="20">
        <f>+COUNT('Constant prices, 1913 borders'!B116:I116)</f>
        <v>5</v>
      </c>
      <c r="AC116" s="20">
        <f>+COUNT('Constant prices, 1913 borders'!L116:S116)</f>
        <v>5</v>
      </c>
    </row>
    <row r="117" spans="1:29" x14ac:dyDescent="0.25">
      <c r="A117">
        <v>1910</v>
      </c>
      <c r="B117" s="21">
        <f>+SUM('Current prices, current borders'!B117:I117)</f>
        <v>372.8856363997437</v>
      </c>
      <c r="C117" s="21"/>
      <c r="D117" s="21">
        <f>+SUM('Current prices, current borders'!L117:S117)</f>
        <v>463.92497833369401</v>
      </c>
      <c r="E117" s="21"/>
      <c r="F117" s="21">
        <f>+SUM('Current prices, 1913 borders'!B117:I117)</f>
        <v>372.8856363997437</v>
      </c>
      <c r="G117" s="21"/>
      <c r="H117" s="21">
        <f>+SUM('Current prices, 1913 borders'!L117:S117)</f>
        <v>463.92497833369401</v>
      </c>
      <c r="I117" s="21"/>
      <c r="J117" s="21">
        <f>+SUM('Constant prices, current border'!B117:I117)</f>
        <v>384.7540247543227</v>
      </c>
      <c r="K117" s="21"/>
      <c r="L117" s="21">
        <f>+SUM('Constant prices, current border'!L117:S117)</f>
        <v>499.83986216064164</v>
      </c>
      <c r="M117" s="21"/>
      <c r="N117" s="21">
        <f>+SUM('Constant prices, 1913 borders'!B117:I117)</f>
        <v>384.7540247543227</v>
      </c>
      <c r="O117" s="21"/>
      <c r="P117" s="21">
        <f>+SUM('Constant prices, 1913 borders'!L117:S117)</f>
        <v>499.83986216064164</v>
      </c>
      <c r="Q117" s="3"/>
      <c r="R117" s="3"/>
      <c r="S117" s="20">
        <f>+COUNT('Current prices, current borders'!B117:I117)</f>
        <v>5</v>
      </c>
      <c r="T117" s="20">
        <f>+COUNT('Current prices, current borders'!L117:S117)</f>
        <v>5</v>
      </c>
      <c r="U117" s="20"/>
      <c r="V117" s="20">
        <f>+COUNT('Current prices, 1913 borders'!B117:I117)</f>
        <v>5</v>
      </c>
      <c r="W117" s="20">
        <f>+COUNT('Current prices, 1913 borders'!L117:S117)</f>
        <v>5</v>
      </c>
      <c r="X117" s="20"/>
      <c r="Y117" s="20">
        <f>+COUNT('Constant prices, current border'!B117:I117)</f>
        <v>5</v>
      </c>
      <c r="Z117" s="20">
        <f>+COUNT('Constant prices, current border'!L117:S117)</f>
        <v>5</v>
      </c>
      <c r="AA117" s="20"/>
      <c r="AB117" s="20">
        <f>+COUNT('Constant prices, 1913 borders'!B117:I117)</f>
        <v>5</v>
      </c>
      <c r="AC117" s="20">
        <f>+COUNT('Constant prices, 1913 borders'!L117:S117)</f>
        <v>5</v>
      </c>
    </row>
    <row r="118" spans="1:29" x14ac:dyDescent="0.25">
      <c r="A118">
        <v>1911</v>
      </c>
      <c r="B118" s="21">
        <f>+SUM('Current prices, current borders'!B118:I118)</f>
        <v>419.20095485551809</v>
      </c>
      <c r="C118" s="21"/>
      <c r="D118" s="21">
        <f>+SUM('Current prices, current borders'!L118:S118)</f>
        <v>439.91193873558041</v>
      </c>
      <c r="E118" s="21"/>
      <c r="F118" s="21">
        <f>+SUM('Current prices, 1913 borders'!B118:I118)</f>
        <v>419.20095485551809</v>
      </c>
      <c r="G118" s="21"/>
      <c r="H118" s="21">
        <f>+SUM('Current prices, 1913 borders'!L118:S118)</f>
        <v>439.91193873558041</v>
      </c>
      <c r="I118" s="21"/>
      <c r="J118" s="21">
        <f>+SUM('Constant prices, current border'!B118:I118)</f>
        <v>421.70415128905051</v>
      </c>
      <c r="K118" s="21"/>
      <c r="L118" s="21">
        <f>+SUM('Constant prices, current border'!L118:S118)</f>
        <v>470.85071627981796</v>
      </c>
      <c r="M118" s="21"/>
      <c r="N118" s="21">
        <f>+SUM('Constant prices, 1913 borders'!B118:I118)</f>
        <v>421.70415128905051</v>
      </c>
      <c r="O118" s="21"/>
      <c r="P118" s="21">
        <f>+SUM('Constant prices, 1913 borders'!L118:S118)</f>
        <v>470.85071627981796</v>
      </c>
      <c r="Q118" s="3"/>
      <c r="R118" s="3"/>
      <c r="S118" s="20">
        <f>+COUNT('Current prices, current borders'!B118:I118)</f>
        <v>5</v>
      </c>
      <c r="T118" s="20">
        <f>+COUNT('Current prices, current borders'!L118:S118)</f>
        <v>5</v>
      </c>
      <c r="U118" s="20"/>
      <c r="V118" s="20">
        <f>+COUNT('Current prices, 1913 borders'!B118:I118)</f>
        <v>5</v>
      </c>
      <c r="W118" s="20">
        <f>+COUNT('Current prices, 1913 borders'!L118:S118)</f>
        <v>5</v>
      </c>
      <c r="X118" s="20"/>
      <c r="Y118" s="20">
        <f>+COUNT('Constant prices, current border'!B118:I118)</f>
        <v>5</v>
      </c>
      <c r="Z118" s="20">
        <f>+COUNT('Constant prices, current border'!L118:S118)</f>
        <v>5</v>
      </c>
      <c r="AA118" s="20"/>
      <c r="AB118" s="20">
        <f>+COUNT('Constant prices, 1913 borders'!B118:I118)</f>
        <v>5</v>
      </c>
      <c r="AC118" s="20">
        <f>+COUNT('Constant prices, 1913 borders'!L118:S118)</f>
        <v>5</v>
      </c>
    </row>
    <row r="119" spans="1:29" x14ac:dyDescent="0.25">
      <c r="A119">
        <v>1912</v>
      </c>
      <c r="B119" s="21">
        <f>+SUM('Current prices, current borders'!B119:I119)</f>
        <v>486.43079942956194</v>
      </c>
      <c r="C119" s="21"/>
      <c r="D119" s="21">
        <f>+SUM('Current prices, current borders'!L119:S119)</f>
        <v>448.87205997253125</v>
      </c>
      <c r="E119" s="21"/>
      <c r="F119" s="21">
        <f>+SUM('Current prices, 1913 borders'!B119:I119)</f>
        <v>486.43079942956194</v>
      </c>
      <c r="G119" s="21"/>
      <c r="H119" s="21">
        <f>+SUM('Current prices, 1913 borders'!L119:S119)</f>
        <v>448.87205997253125</v>
      </c>
      <c r="I119" s="21"/>
      <c r="J119" s="21">
        <f>+SUM('Constant prices, current border'!B119:I119)</f>
        <v>482.55351336959524</v>
      </c>
      <c r="K119" s="21"/>
      <c r="L119" s="21">
        <f>+SUM('Constant prices, current border'!L119:S119)</f>
        <v>469.36841709652629</v>
      </c>
      <c r="M119" s="21"/>
      <c r="N119" s="21">
        <f>+SUM('Constant prices, 1913 borders'!B119:I119)</f>
        <v>482.55351336959524</v>
      </c>
      <c r="O119" s="21"/>
      <c r="P119" s="21">
        <f>+SUM('Constant prices, 1913 borders'!L119:S119)</f>
        <v>469.36841709652629</v>
      </c>
      <c r="Q119" s="3"/>
      <c r="R119" s="3"/>
      <c r="S119" s="20">
        <f>+COUNT('Current prices, current borders'!B119:I119)</f>
        <v>5</v>
      </c>
      <c r="T119" s="20">
        <f>+COUNT('Current prices, current borders'!L119:S119)</f>
        <v>5</v>
      </c>
      <c r="U119" s="20"/>
      <c r="V119" s="20">
        <f>+COUNT('Current prices, 1913 borders'!B119:I119)</f>
        <v>5</v>
      </c>
      <c r="W119" s="20">
        <f>+COUNT('Current prices, 1913 borders'!L119:S119)</f>
        <v>5</v>
      </c>
      <c r="X119" s="20"/>
      <c r="Y119" s="20">
        <f>+COUNT('Constant prices, current border'!B119:I119)</f>
        <v>5</v>
      </c>
      <c r="Z119" s="20">
        <f>+COUNT('Constant prices, current border'!L119:S119)</f>
        <v>5</v>
      </c>
      <c r="AA119" s="20"/>
      <c r="AB119" s="20">
        <f>+COUNT('Constant prices, 1913 borders'!B119:I119)</f>
        <v>5</v>
      </c>
      <c r="AC119" s="20">
        <f>+COUNT('Constant prices, 1913 borders'!L119:S119)</f>
        <v>5</v>
      </c>
    </row>
    <row r="120" spans="1:29" x14ac:dyDescent="0.25">
      <c r="A120">
        <v>1913</v>
      </c>
      <c r="B120" s="21">
        <f>+SUM('Current prices, current borders'!B120:I120)</f>
        <v>504.15791025698229</v>
      </c>
      <c r="C120" s="21"/>
      <c r="D120" s="21">
        <f>+SUM('Current prices, current borders'!L120:S120)</f>
        <v>500.05703920455949</v>
      </c>
      <c r="E120" s="21"/>
      <c r="F120" s="21">
        <f>+SUM('Current prices, 1913 borders'!B120:I120)</f>
        <v>504.15791025698229</v>
      </c>
      <c r="G120" s="21"/>
      <c r="H120" s="21">
        <f>+SUM('Current prices, 1913 borders'!L120:S120)</f>
        <v>500.05703920455949</v>
      </c>
      <c r="I120" s="21"/>
      <c r="J120" s="21">
        <f>+SUM('Constant prices, current border'!B120:I120)</f>
        <v>504.15791025698229</v>
      </c>
      <c r="K120" s="21"/>
      <c r="L120" s="21">
        <f>+SUM('Constant prices, current border'!L120:S120)</f>
        <v>500.05703920455949</v>
      </c>
      <c r="M120" s="21"/>
      <c r="N120" s="21">
        <f>+SUM('Constant prices, 1913 borders'!B120:I120)</f>
        <v>504.15791025698229</v>
      </c>
      <c r="O120" s="21"/>
      <c r="P120" s="21">
        <f>+SUM('Constant prices, 1913 borders'!L120:S120)</f>
        <v>500.05703920455949</v>
      </c>
      <c r="Q120" s="3"/>
      <c r="R120" s="3"/>
      <c r="S120" s="20">
        <f>+COUNT('Current prices, current borders'!B120:I120)</f>
        <v>5</v>
      </c>
      <c r="T120" s="20">
        <f>+COUNT('Current prices, current borders'!L120:S120)</f>
        <v>5</v>
      </c>
      <c r="U120" s="20"/>
      <c r="V120" s="20">
        <f>+COUNT('Current prices, 1913 borders'!B120:I120)</f>
        <v>5</v>
      </c>
      <c r="W120" s="20">
        <f>+COUNT('Current prices, 1913 borders'!L120:S120)</f>
        <v>5</v>
      </c>
      <c r="X120" s="20"/>
      <c r="Y120" s="20">
        <f>+COUNT('Constant prices, current border'!B120:I120)</f>
        <v>5</v>
      </c>
      <c r="Z120" s="20">
        <f>+COUNT('Constant prices, current border'!L120:S120)</f>
        <v>5</v>
      </c>
      <c r="AA120" s="20"/>
      <c r="AB120" s="20">
        <f>+COUNT('Constant prices, 1913 borders'!B120:I120)</f>
        <v>5</v>
      </c>
      <c r="AC120" s="20">
        <f>+COUNT('Constant prices, 1913 borders'!L120:S120)</f>
        <v>5</v>
      </c>
    </row>
    <row r="121" spans="1:29" x14ac:dyDescent="0.25">
      <c r="A121">
        <v>1914</v>
      </c>
      <c r="B121" s="21">
        <f>+SUM('Current prices, current borders'!B121:I121)</f>
        <v>466.48569699140393</v>
      </c>
      <c r="C121" s="21"/>
      <c r="D121" s="21">
        <f>+SUM('Current prices, current borders'!L121:S121)</f>
        <v>465.25407006571839</v>
      </c>
      <c r="E121" s="21"/>
      <c r="F121" s="21">
        <f>+SUM('Current prices, 1913 borders'!B121:I121)</f>
        <v>466.48569699140393</v>
      </c>
      <c r="G121" s="21"/>
      <c r="H121" s="21">
        <f>+SUM('Current prices, 1913 borders'!L121:S121)</f>
        <v>465.25407006571839</v>
      </c>
      <c r="I121" s="21"/>
      <c r="J121" s="21">
        <f>+SUM('Constant prices, current border'!B121:I121)</f>
        <v>484.63731774519397</v>
      </c>
      <c r="K121" s="21"/>
      <c r="L121" s="21">
        <f>+SUM('Constant prices, current border'!L121:S121)</f>
        <v>465.61120091853877</v>
      </c>
      <c r="M121" s="21"/>
      <c r="N121" s="21">
        <f>+SUM('Constant prices, 1913 borders'!B121:I121)</f>
        <v>484.63731774519397</v>
      </c>
      <c r="O121" s="21"/>
      <c r="P121" s="21">
        <f>+SUM('Constant prices, 1913 borders'!L121:S121)</f>
        <v>465.61120091853877</v>
      </c>
      <c r="Q121" s="3"/>
      <c r="R121" s="3"/>
      <c r="S121" s="20">
        <f>+COUNT('Current prices, current borders'!B121:I121)</f>
        <v>5</v>
      </c>
      <c r="T121" s="20">
        <f>+COUNT('Current prices, current borders'!L121:S121)</f>
        <v>5</v>
      </c>
      <c r="U121" s="20"/>
      <c r="V121" s="20">
        <f>+COUNT('Current prices, 1913 borders'!B121:I121)</f>
        <v>5</v>
      </c>
      <c r="W121" s="20">
        <f>+COUNT('Current prices, 1913 borders'!L121:S121)</f>
        <v>5</v>
      </c>
      <c r="X121" s="20"/>
      <c r="Y121" s="20">
        <f>+COUNT('Constant prices, current border'!B121:I121)</f>
        <v>5</v>
      </c>
      <c r="Z121" s="20">
        <f>+COUNT('Constant prices, current border'!L121:S121)</f>
        <v>5</v>
      </c>
      <c r="AA121" s="20"/>
      <c r="AB121" s="20">
        <f>+COUNT('Constant prices, 1913 borders'!B121:I121)</f>
        <v>5</v>
      </c>
      <c r="AC121" s="20">
        <f>+COUNT('Constant prices, 1913 borders'!L121:S121)</f>
        <v>5</v>
      </c>
    </row>
    <row r="122" spans="1:29" x14ac:dyDescent="0.25">
      <c r="A122">
        <v>1915</v>
      </c>
      <c r="B122" s="21">
        <f>+SUM('Current prices, current borders'!B122:I122)</f>
        <v>412.91786674847879</v>
      </c>
      <c r="C122" s="21"/>
      <c r="D122" s="21">
        <f>+SUM('Current prices, current borders'!L122:S122)</f>
        <v>498.51203319337725</v>
      </c>
      <c r="E122" s="21"/>
      <c r="F122" s="21">
        <f>+SUM('Current prices, 1913 borders'!B122:I122)</f>
        <v>412.91786674847879</v>
      </c>
      <c r="G122" s="21"/>
      <c r="H122" s="21">
        <f>+SUM('Current prices, 1913 borders'!L122:S122)</f>
        <v>498.51203319337725</v>
      </c>
      <c r="I122" s="21"/>
      <c r="J122" s="21">
        <f>+SUM('Constant prices, current border'!B122:I122)</f>
        <v>375.88234192782704</v>
      </c>
      <c r="K122" s="21"/>
      <c r="L122" s="21">
        <f>+SUM('Constant prices, current border'!L122:S122)</f>
        <v>457.54293691770408</v>
      </c>
      <c r="M122" s="21"/>
      <c r="N122" s="21">
        <f>+SUM('Constant prices, 1913 borders'!B122:I122)</f>
        <v>375.88234192782704</v>
      </c>
      <c r="O122" s="21"/>
      <c r="P122" s="21">
        <f>+SUM('Constant prices, 1913 borders'!L122:S122)</f>
        <v>457.54293691770408</v>
      </c>
      <c r="Q122" s="3"/>
      <c r="R122" s="3"/>
      <c r="S122" s="20">
        <f>+COUNT('Current prices, current borders'!B122:I122)</f>
        <v>5</v>
      </c>
      <c r="T122" s="20">
        <f>+COUNT('Current prices, current borders'!L122:S122)</f>
        <v>5</v>
      </c>
      <c r="U122" s="20"/>
      <c r="V122" s="20">
        <f>+COUNT('Current prices, 1913 borders'!B122:I122)</f>
        <v>5</v>
      </c>
      <c r="W122" s="20">
        <f>+COUNT('Current prices, 1913 borders'!L122:S122)</f>
        <v>5</v>
      </c>
      <c r="X122" s="20"/>
      <c r="Y122" s="20">
        <f>+COUNT('Constant prices, current border'!B122:I122)</f>
        <v>5</v>
      </c>
      <c r="Z122" s="20">
        <f>+COUNT('Constant prices, current border'!L122:S122)</f>
        <v>5</v>
      </c>
      <c r="AA122" s="20"/>
      <c r="AB122" s="20">
        <f>+COUNT('Constant prices, 1913 borders'!B122:I122)</f>
        <v>5</v>
      </c>
      <c r="AC122" s="20">
        <f>+COUNT('Constant prices, 1913 borders'!L122:S122)</f>
        <v>5</v>
      </c>
    </row>
    <row r="123" spans="1:29" x14ac:dyDescent="0.25">
      <c r="A123">
        <v>1916</v>
      </c>
      <c r="B123" s="21">
        <f>+SUM('Current prices, current borders'!B123:I123)</f>
        <v>563.21260887331823</v>
      </c>
      <c r="C123" s="21"/>
      <c r="D123" s="21">
        <f>+SUM('Current prices, current borders'!L123:S123)</f>
        <v>540.91424897804256</v>
      </c>
      <c r="E123" s="21"/>
      <c r="F123" s="21">
        <f>+SUM('Current prices, 1913 borders'!B123:I123)</f>
        <v>563.21260887331823</v>
      </c>
      <c r="G123" s="21"/>
      <c r="H123" s="21">
        <f>+SUM('Current prices, 1913 borders'!L123:S123)</f>
        <v>540.91424897804256</v>
      </c>
      <c r="I123" s="21"/>
      <c r="J123" s="21">
        <f>+SUM('Constant prices, current border'!B123:I123)</f>
        <v>406.49677467943985</v>
      </c>
      <c r="K123" s="21"/>
      <c r="L123" s="21">
        <f>+SUM('Constant prices, current border'!L123:S123)</f>
        <v>412.42463609588742</v>
      </c>
      <c r="M123" s="21"/>
      <c r="N123" s="21">
        <f>+SUM('Constant prices, 1913 borders'!B123:I123)</f>
        <v>406.49677467943985</v>
      </c>
      <c r="O123" s="21"/>
      <c r="P123" s="21">
        <f>+SUM('Constant prices, 1913 borders'!L123:S123)</f>
        <v>412.42463609588742</v>
      </c>
      <c r="Q123" s="3"/>
      <c r="R123" s="3"/>
      <c r="S123" s="20">
        <f>+COUNT('Current prices, current borders'!B123:I123)</f>
        <v>5</v>
      </c>
      <c r="T123" s="20">
        <f>+COUNT('Current prices, current borders'!L123:S123)</f>
        <v>5</v>
      </c>
      <c r="U123" s="20"/>
      <c r="V123" s="20">
        <f>+COUNT('Current prices, 1913 borders'!B123:I123)</f>
        <v>5</v>
      </c>
      <c r="W123" s="20">
        <f>+COUNT('Current prices, 1913 borders'!L123:S123)</f>
        <v>5</v>
      </c>
      <c r="X123" s="20"/>
      <c r="Y123" s="20">
        <f>+COUNT('Constant prices, current border'!B123:I123)</f>
        <v>5</v>
      </c>
      <c r="Z123" s="20">
        <f>+COUNT('Constant prices, current border'!L123:S123)</f>
        <v>5</v>
      </c>
      <c r="AA123" s="20"/>
      <c r="AB123" s="20">
        <f>+COUNT('Constant prices, 1913 borders'!B123:I123)</f>
        <v>5</v>
      </c>
      <c r="AC123" s="20">
        <f>+COUNT('Constant prices, 1913 borders'!L123:S123)</f>
        <v>5</v>
      </c>
    </row>
    <row r="124" spans="1:29" x14ac:dyDescent="0.25">
      <c r="A124">
        <v>1917</v>
      </c>
      <c r="B124" s="21">
        <f>+SUM('Current prices, current borders'!B124:I124)</f>
        <v>595.95349768381436</v>
      </c>
      <c r="C124" s="21"/>
      <c r="D124" s="21">
        <f>+SUM('Current prices, current borders'!L124:S124)</f>
        <v>492.66802526291599</v>
      </c>
      <c r="E124" s="21"/>
      <c r="F124" s="21">
        <f>+SUM('Current prices, 1913 borders'!B124:I124)</f>
        <v>595.95349768381436</v>
      </c>
      <c r="G124" s="21"/>
      <c r="H124" s="21">
        <f>+SUM('Current prices, 1913 borders'!L124:S124)</f>
        <v>492.66802526291599</v>
      </c>
      <c r="I124" s="21"/>
      <c r="J124" s="21">
        <f>+SUM('Constant prices, current border'!B124:I124)</f>
        <v>348.39222413856777</v>
      </c>
      <c r="K124" s="21"/>
      <c r="L124" s="21">
        <f>+SUM('Constant prices, current border'!L124:S124)</f>
        <v>330.81853891966216</v>
      </c>
      <c r="M124" s="21"/>
      <c r="N124" s="21">
        <f>+SUM('Constant prices, 1913 borders'!B124:I124)</f>
        <v>348.39222413856777</v>
      </c>
      <c r="O124" s="21"/>
      <c r="P124" s="21">
        <f>+SUM('Constant prices, 1913 borders'!L124:S124)</f>
        <v>330.81853891966216</v>
      </c>
      <c r="Q124" s="3"/>
      <c r="R124" s="3"/>
      <c r="S124" s="20">
        <f>+COUNT('Current prices, current borders'!B124:I124)</f>
        <v>5</v>
      </c>
      <c r="T124" s="20">
        <f>+COUNT('Current prices, current borders'!L124:S124)</f>
        <v>5</v>
      </c>
      <c r="U124" s="20"/>
      <c r="V124" s="20">
        <f>+COUNT('Current prices, 1913 borders'!B124:I124)</f>
        <v>5</v>
      </c>
      <c r="W124" s="20">
        <f>+COUNT('Current prices, 1913 borders'!L124:S124)</f>
        <v>5</v>
      </c>
      <c r="X124" s="20"/>
      <c r="Y124" s="20">
        <f>+COUNT('Constant prices, current border'!B124:I124)</f>
        <v>5</v>
      </c>
      <c r="Z124" s="20">
        <f>+COUNT('Constant prices, current border'!L124:S124)</f>
        <v>5</v>
      </c>
      <c r="AA124" s="20"/>
      <c r="AB124" s="20">
        <f>+COUNT('Constant prices, 1913 borders'!B124:I124)</f>
        <v>5</v>
      </c>
      <c r="AC124" s="20">
        <f>+COUNT('Constant prices, 1913 borders'!L124:S124)</f>
        <v>5</v>
      </c>
    </row>
    <row r="125" spans="1:29" x14ac:dyDescent="0.25">
      <c r="A125">
        <v>1918</v>
      </c>
      <c r="B125" s="21">
        <f>+SUM('Current prices, current borders'!B125:I125)</f>
        <v>597.32722136074074</v>
      </c>
      <c r="C125" s="21"/>
      <c r="D125" s="21">
        <f>+SUM('Current prices, current borders'!L125:S125)</f>
        <v>528.08752415926494</v>
      </c>
      <c r="E125" s="21"/>
      <c r="F125" s="21">
        <f>+SUM('Current prices, 1913 borders'!B125:I125)</f>
        <v>597.32722136074074</v>
      </c>
      <c r="G125" s="21"/>
      <c r="H125" s="21">
        <f>+SUM('Current prices, 1913 borders'!L125:S125)</f>
        <v>528.08752415926494</v>
      </c>
      <c r="I125" s="21"/>
      <c r="J125" s="21">
        <f>+SUM('Constant prices, current border'!B125:I125)</f>
        <v>314.56670358145584</v>
      </c>
      <c r="K125" s="21"/>
      <c r="L125" s="21">
        <f>+SUM('Constant prices, current border'!L125:S125)</f>
        <v>342.63630860351509</v>
      </c>
      <c r="M125" s="21"/>
      <c r="N125" s="21">
        <f>+SUM('Constant prices, 1913 borders'!B125:I125)</f>
        <v>314.56670358145584</v>
      </c>
      <c r="O125" s="21"/>
      <c r="P125" s="21">
        <f>+SUM('Constant prices, 1913 borders'!L125:S125)</f>
        <v>342.63630860351509</v>
      </c>
      <c r="Q125" s="3"/>
      <c r="R125" s="3"/>
      <c r="S125" s="20">
        <f>+COUNT('Current prices, current borders'!B125:I125)</f>
        <v>5</v>
      </c>
      <c r="T125" s="20">
        <f>+COUNT('Current prices, current borders'!L125:S125)</f>
        <v>5</v>
      </c>
      <c r="U125" s="20"/>
      <c r="V125" s="20">
        <f>+COUNT('Current prices, 1913 borders'!B125:I125)</f>
        <v>5</v>
      </c>
      <c r="W125" s="20">
        <f>+COUNT('Current prices, 1913 borders'!L125:S125)</f>
        <v>5</v>
      </c>
      <c r="X125" s="20"/>
      <c r="Y125" s="20">
        <f>+COUNT('Constant prices, current border'!B125:I125)</f>
        <v>5</v>
      </c>
      <c r="Z125" s="20">
        <f>+COUNT('Constant prices, current border'!L125:S125)</f>
        <v>5</v>
      </c>
      <c r="AA125" s="20"/>
      <c r="AB125" s="20">
        <f>+COUNT('Constant prices, 1913 borders'!B125:I125)</f>
        <v>5</v>
      </c>
      <c r="AC125" s="20">
        <f>+COUNT('Constant prices, 1913 borders'!L125:S125)</f>
        <v>5</v>
      </c>
    </row>
    <row r="126" spans="1:29" x14ac:dyDescent="0.25">
      <c r="A126">
        <v>1919</v>
      </c>
      <c r="B126" s="21">
        <f>+SUM('Current prices, current borders'!B126:I126)</f>
        <v>601.82758001568504</v>
      </c>
      <c r="C126" s="21"/>
      <c r="D126" s="21">
        <f>+SUM('Current prices, current borders'!L126:S126)</f>
        <v>633.49759638653984</v>
      </c>
      <c r="E126" s="21"/>
      <c r="F126" s="21">
        <f>+SUM('Current prices, 1913 borders'!B126:I126)</f>
        <v>601.82758001568504</v>
      </c>
      <c r="G126" s="21"/>
      <c r="H126" s="21">
        <f>+SUM('Current prices, 1913 borders'!L126:S126)</f>
        <v>633.49759638653984</v>
      </c>
      <c r="I126" s="21"/>
      <c r="J126" s="21">
        <f>+SUM('Constant prices, current border'!B126:I126)</f>
        <v>336.97009365791041</v>
      </c>
      <c r="K126" s="21"/>
      <c r="L126" s="21">
        <f>+SUM('Constant prices, current border'!L126:S126)</f>
        <v>459.11521520885367</v>
      </c>
      <c r="M126" s="21"/>
      <c r="N126" s="21">
        <f>+SUM('Constant prices, 1913 borders'!B126:I126)</f>
        <v>336.97009365791041</v>
      </c>
      <c r="O126" s="21"/>
      <c r="P126" s="21">
        <f>+SUM('Constant prices, 1913 borders'!L126:S126)</f>
        <v>459.11521520885367</v>
      </c>
      <c r="Q126" s="3"/>
      <c r="R126" s="3"/>
      <c r="S126" s="20">
        <f>+COUNT('Current prices, current borders'!B126:I126)</f>
        <v>5</v>
      </c>
      <c r="T126" s="20">
        <f>+COUNT('Current prices, current borders'!L126:S126)</f>
        <v>5</v>
      </c>
      <c r="U126" s="20"/>
      <c r="V126" s="20">
        <f>+COUNT('Current prices, 1913 borders'!B126:I126)</f>
        <v>5</v>
      </c>
      <c r="W126" s="20">
        <f>+COUNT('Current prices, 1913 borders'!L126:S126)</f>
        <v>5</v>
      </c>
      <c r="X126" s="20"/>
      <c r="Y126" s="20">
        <f>+COUNT('Constant prices, current border'!B126:I126)</f>
        <v>5</v>
      </c>
      <c r="Z126" s="20">
        <f>+COUNT('Constant prices, current border'!L126:S126)</f>
        <v>5</v>
      </c>
      <c r="AA126" s="20"/>
      <c r="AB126" s="20">
        <f>+COUNT('Constant prices, 1913 borders'!B126:I126)</f>
        <v>5</v>
      </c>
      <c r="AC126" s="20">
        <f>+COUNT('Constant prices, 1913 borders'!L126:S126)</f>
        <v>5</v>
      </c>
    </row>
    <row r="127" spans="1:29" x14ac:dyDescent="0.25">
      <c r="A127">
        <v>1920</v>
      </c>
      <c r="B127" s="21">
        <f>+SUM('Current prices, current borders'!B127:I127)</f>
        <v>682.95089711275966</v>
      </c>
      <c r="C127" s="21"/>
      <c r="D127" s="21">
        <f>+SUM('Current prices, current borders'!L127:S127)</f>
        <v>661.66321873091852</v>
      </c>
      <c r="E127" s="21"/>
      <c r="F127" s="21">
        <f>+SUM('Current prices, 1913 borders'!B127:I127)</f>
        <v>682.95089711275966</v>
      </c>
      <c r="G127" s="21"/>
      <c r="H127" s="21">
        <f>+SUM('Current prices, 1913 borders'!L127:S127)</f>
        <v>661.66321873091852</v>
      </c>
      <c r="I127" s="21"/>
      <c r="J127" s="21">
        <f>+SUM('Constant prices, current border'!B127:I127)</f>
        <v>407.97511020979368</v>
      </c>
      <c r="K127" s="21"/>
      <c r="L127" s="21">
        <f>+SUM('Constant prices, current border'!L127:S127)</f>
        <v>529.24186007395861</v>
      </c>
      <c r="M127" s="21"/>
      <c r="N127" s="21">
        <f>+SUM('Constant prices, 1913 borders'!B127:I127)</f>
        <v>407.97511020979368</v>
      </c>
      <c r="O127" s="21"/>
      <c r="P127" s="21">
        <f>+SUM('Constant prices, 1913 borders'!L127:S127)</f>
        <v>529.24186007395861</v>
      </c>
      <c r="Q127" s="3"/>
      <c r="R127" s="3"/>
      <c r="S127" s="20">
        <f>+COUNT('Current prices, current borders'!B127:I127)</f>
        <v>5</v>
      </c>
      <c r="T127" s="20">
        <f>+COUNT('Current prices, current borders'!L127:S127)</f>
        <v>5</v>
      </c>
      <c r="U127" s="20"/>
      <c r="V127" s="20">
        <f>+COUNT('Current prices, 1913 borders'!B127:I127)</f>
        <v>5</v>
      </c>
      <c r="W127" s="20">
        <f>+COUNT('Current prices, 1913 borders'!L127:S127)</f>
        <v>5</v>
      </c>
      <c r="X127" s="20"/>
      <c r="Y127" s="20">
        <f>+COUNT('Constant prices, current border'!B127:I127)</f>
        <v>5</v>
      </c>
      <c r="Z127" s="20">
        <f>+COUNT('Constant prices, current border'!L127:S127)</f>
        <v>5</v>
      </c>
      <c r="AA127" s="20"/>
      <c r="AB127" s="20">
        <f>+COUNT('Constant prices, 1913 borders'!B127:I127)</f>
        <v>5</v>
      </c>
      <c r="AC127" s="20">
        <f>+COUNT('Constant prices, 1913 borders'!L127:S127)</f>
        <v>5</v>
      </c>
    </row>
    <row r="128" spans="1:29" x14ac:dyDescent="0.25">
      <c r="A128">
        <v>1921</v>
      </c>
      <c r="B128" s="21">
        <f>+SUM('Current prices, current borders'!B128:I128)</f>
        <v>677.52142146159383</v>
      </c>
      <c r="C128" s="21"/>
      <c r="D128" s="21">
        <f>+SUM('Current prices, current borders'!L128:S128)</f>
        <v>744.65198967729032</v>
      </c>
      <c r="E128" s="21"/>
      <c r="F128" s="21">
        <f>+SUM('Current prices, 1913 borders'!B128:I128)</f>
        <v>677.52142146159383</v>
      </c>
      <c r="G128" s="21"/>
      <c r="H128" s="21">
        <f>+SUM('Current prices, 1913 borders'!L128:S128)</f>
        <v>744.65198967729032</v>
      </c>
      <c r="I128" s="21"/>
      <c r="J128" s="21">
        <f>+SUM('Constant prices, current border'!B128:I128)</f>
        <v>404.39510255479996</v>
      </c>
      <c r="K128" s="21"/>
      <c r="L128" s="21">
        <f>+SUM('Constant prices, current border'!L128:S128)</f>
        <v>584.62915889569695</v>
      </c>
      <c r="M128" s="21"/>
      <c r="N128" s="21">
        <f>+SUM('Constant prices, 1913 borders'!B128:I128)</f>
        <v>404.39510255479996</v>
      </c>
      <c r="O128" s="21"/>
      <c r="P128" s="21">
        <f>+SUM('Constant prices, 1913 borders'!L128:S128)</f>
        <v>584.62915889569695</v>
      </c>
      <c r="R128" s="5"/>
      <c r="S128" s="20">
        <f>+COUNT('Current prices, current borders'!B128:I128)</f>
        <v>5</v>
      </c>
      <c r="T128" s="20">
        <f>+COUNT('Current prices, current borders'!L128:S128)</f>
        <v>5</v>
      </c>
      <c r="U128" s="20"/>
      <c r="V128" s="20">
        <f>+COUNT('Current prices, 1913 borders'!B128:I128)</f>
        <v>5</v>
      </c>
      <c r="W128" s="20">
        <f>+COUNT('Current prices, 1913 borders'!L128:S128)</f>
        <v>5</v>
      </c>
      <c r="X128" s="20"/>
      <c r="Y128" s="20">
        <f>+COUNT('Constant prices, current border'!B128:I128)</f>
        <v>5</v>
      </c>
      <c r="Z128" s="20">
        <f>+COUNT('Constant prices, current border'!L128:S128)</f>
        <v>5</v>
      </c>
      <c r="AA128" s="20"/>
      <c r="AB128" s="20">
        <f>+COUNT('Constant prices, 1913 borders'!B128:I128)</f>
        <v>5</v>
      </c>
      <c r="AC128" s="20">
        <f>+COUNT('Constant prices, 1913 borders'!L128:S128)</f>
        <v>5</v>
      </c>
    </row>
    <row r="129" spans="1:29" x14ac:dyDescent="0.25">
      <c r="A129">
        <v>1922</v>
      </c>
      <c r="B129" s="21">
        <f>+SUM('Current prices, current borders'!B129:I129)</f>
        <v>736.44735637587382</v>
      </c>
      <c r="C129" s="21"/>
      <c r="D129" s="21">
        <f>+SUM('Current prices, current borders'!L129:S129)</f>
        <v>752.21475263924765</v>
      </c>
      <c r="E129" s="21"/>
      <c r="F129" s="21">
        <f>+SUM('Current prices, 1913 borders'!B129:I129)</f>
        <v>736.44735637587382</v>
      </c>
      <c r="G129" s="21"/>
      <c r="H129" s="21">
        <f>+SUM('Current prices, 1913 borders'!L129:S129)</f>
        <v>752.21475263924765</v>
      </c>
      <c r="I129" s="21"/>
      <c r="J129" s="21">
        <f>+SUM('Constant prices, current border'!B129:I129)</f>
        <v>473.23487313049873</v>
      </c>
      <c r="K129" s="21"/>
      <c r="L129" s="21">
        <f>+SUM('Constant prices, current border'!L129:S129)</f>
        <v>591.30372218223295</v>
      </c>
      <c r="M129" s="21"/>
      <c r="N129" s="21">
        <f>+SUM('Constant prices, 1913 borders'!B129:I129)</f>
        <v>473.23487313049873</v>
      </c>
      <c r="O129" s="21"/>
      <c r="P129" s="21">
        <f>+SUM('Constant prices, 1913 borders'!L129:S129)</f>
        <v>591.30372218223295</v>
      </c>
      <c r="R129" s="5"/>
      <c r="S129" s="20">
        <f>+COUNT('Current prices, current borders'!B129:I129)</f>
        <v>5</v>
      </c>
      <c r="T129" s="20">
        <f>+COUNT('Current prices, current borders'!L129:S129)</f>
        <v>5</v>
      </c>
      <c r="U129" s="20"/>
      <c r="V129" s="20">
        <f>+COUNT('Current prices, 1913 borders'!B129:I129)</f>
        <v>5</v>
      </c>
      <c r="W129" s="20">
        <f>+COUNT('Current prices, 1913 borders'!L129:S129)</f>
        <v>5</v>
      </c>
      <c r="X129" s="20"/>
      <c r="Y129" s="20">
        <f>+COUNT('Constant prices, current border'!B129:I129)</f>
        <v>5</v>
      </c>
      <c r="Z129" s="20">
        <f>+COUNT('Constant prices, current border'!L129:S129)</f>
        <v>5</v>
      </c>
      <c r="AA129" s="20"/>
      <c r="AB129" s="20">
        <f>+COUNT('Constant prices, 1913 borders'!B129:I129)</f>
        <v>5</v>
      </c>
      <c r="AC129" s="20">
        <f>+COUNT('Constant prices, 1913 borders'!L129:S129)</f>
        <v>5</v>
      </c>
    </row>
    <row r="130" spans="1:29" x14ac:dyDescent="0.25">
      <c r="A130">
        <v>1923</v>
      </c>
      <c r="B130" s="21">
        <f>+SUM('Current prices, current borders'!B130:I130)</f>
        <v>748.146523757659</v>
      </c>
      <c r="C130" s="21"/>
      <c r="D130" s="21">
        <f>+SUM('Current prices, current borders'!L130:S130)</f>
        <v>817.77564374217206</v>
      </c>
      <c r="E130" s="21"/>
      <c r="F130" s="21">
        <f>+SUM('Current prices, 1913 borders'!B130:I130)</f>
        <v>748.146523757659</v>
      </c>
      <c r="G130" s="21"/>
      <c r="H130" s="21">
        <f>+SUM('Current prices, 1913 borders'!L130:S130)</f>
        <v>817.77564374217206</v>
      </c>
      <c r="I130" s="21"/>
      <c r="J130" s="21">
        <f>+SUM('Constant prices, current border'!B130:I130)</f>
        <v>568.69264171000395</v>
      </c>
      <c r="K130" s="21"/>
      <c r="L130" s="21">
        <f>+SUM('Constant prices, current border'!L130:S130)</f>
        <v>548.07813094652363</v>
      </c>
      <c r="M130" s="21"/>
      <c r="N130" s="21">
        <f>+SUM('Constant prices, 1913 borders'!B130:I130)</f>
        <v>568.69264171000395</v>
      </c>
      <c r="O130" s="21"/>
      <c r="P130" s="21">
        <f>+SUM('Constant prices, 1913 borders'!L130:S130)</f>
        <v>548.07813094652363</v>
      </c>
      <c r="R130" s="5"/>
      <c r="S130" s="20">
        <f>+COUNT('Current prices, current borders'!B130:I130)</f>
        <v>5</v>
      </c>
      <c r="T130" s="20">
        <f>+COUNT('Current prices, current borders'!L130:S130)</f>
        <v>5</v>
      </c>
      <c r="U130" s="20"/>
      <c r="V130" s="20">
        <f>+COUNT('Current prices, 1913 borders'!B130:I130)</f>
        <v>5</v>
      </c>
      <c r="W130" s="20">
        <f>+COUNT('Current prices, 1913 borders'!L130:S130)</f>
        <v>5</v>
      </c>
      <c r="X130" s="20"/>
      <c r="Y130" s="20">
        <f>+COUNT('Constant prices, current border'!B130:I130)</f>
        <v>5</v>
      </c>
      <c r="Z130" s="20">
        <f>+COUNT('Constant prices, current border'!L130:S130)</f>
        <v>5</v>
      </c>
      <c r="AA130" s="20"/>
      <c r="AB130" s="20">
        <f>+COUNT('Constant prices, 1913 borders'!B130:I130)</f>
        <v>5</v>
      </c>
      <c r="AC130" s="20">
        <f>+COUNT('Constant prices, 1913 borders'!L130:S130)</f>
        <v>5</v>
      </c>
    </row>
    <row r="131" spans="1:29" x14ac:dyDescent="0.25">
      <c r="A131">
        <v>1924</v>
      </c>
      <c r="B131" s="21">
        <f>+SUM('Current prices, current borders'!B131:I131)</f>
        <v>920.57259879557182</v>
      </c>
      <c r="C131" s="21"/>
      <c r="D131" s="21">
        <f>+SUM('Current prices, current borders'!L131:S131)</f>
        <v>927.34391348621739</v>
      </c>
      <c r="E131" s="21"/>
      <c r="F131" s="21">
        <f>+SUM('Current prices, 1913 borders'!B131:I131)</f>
        <v>920.57259879557182</v>
      </c>
      <c r="G131" s="21"/>
      <c r="H131" s="21">
        <f>+SUM('Current prices, 1913 borders'!L131:S131)</f>
        <v>927.34391348621739</v>
      </c>
      <c r="I131" s="21"/>
      <c r="J131" s="21">
        <f>+SUM('Constant prices, current border'!B131:I131)</f>
        <v>684.568170434173</v>
      </c>
      <c r="K131" s="21"/>
      <c r="L131" s="21">
        <f>+SUM('Constant prices, current border'!L131:S131)</f>
        <v>508.87334963591405</v>
      </c>
      <c r="M131" s="21"/>
      <c r="N131" s="21">
        <f>+SUM('Constant prices, 1913 borders'!B131:I131)</f>
        <v>684.568170434173</v>
      </c>
      <c r="O131" s="21"/>
      <c r="P131" s="21">
        <f>+SUM('Constant prices, 1913 borders'!L131:S131)</f>
        <v>508.87334963591405</v>
      </c>
      <c r="R131" s="5"/>
      <c r="S131" s="20">
        <f>+COUNT('Current prices, current borders'!B131:I131)</f>
        <v>5</v>
      </c>
      <c r="T131" s="20">
        <f>+COUNT('Current prices, current borders'!L131:S131)</f>
        <v>5</v>
      </c>
      <c r="U131" s="20"/>
      <c r="V131" s="20">
        <f>+COUNT('Current prices, 1913 borders'!B131:I131)</f>
        <v>5</v>
      </c>
      <c r="W131" s="20">
        <f>+COUNT('Current prices, 1913 borders'!L131:S131)</f>
        <v>5</v>
      </c>
      <c r="X131" s="20"/>
      <c r="Y131" s="20">
        <f>+COUNT('Constant prices, current border'!B131:I131)</f>
        <v>5</v>
      </c>
      <c r="Z131" s="20">
        <f>+COUNT('Constant prices, current border'!L131:S131)</f>
        <v>5</v>
      </c>
      <c r="AA131" s="20"/>
      <c r="AB131" s="20">
        <f>+COUNT('Constant prices, 1913 borders'!B131:I131)</f>
        <v>5</v>
      </c>
      <c r="AC131" s="20">
        <f>+COUNT('Constant prices, 1913 borders'!L131:S131)</f>
        <v>5</v>
      </c>
    </row>
    <row r="132" spans="1:29" x14ac:dyDescent="0.25">
      <c r="A132">
        <v>1925</v>
      </c>
      <c r="B132" s="21">
        <f>+SUM('Current prices, current borders'!B132:I132)</f>
        <v>1008.5210650987842</v>
      </c>
      <c r="C132" s="21"/>
      <c r="D132" s="21">
        <f>+SUM('Current prices, current borders'!L132:S132)</f>
        <v>992.88112436540405</v>
      </c>
      <c r="E132" s="21"/>
      <c r="F132" s="21">
        <f>+SUM('Current prices, 1913 borders'!B132:I132)</f>
        <v>1008.5210650987842</v>
      </c>
      <c r="G132" s="21"/>
      <c r="H132" s="21">
        <f>+SUM('Current prices, 1913 borders'!L132:S132)</f>
        <v>992.88112436540405</v>
      </c>
      <c r="I132" s="21"/>
      <c r="J132" s="21">
        <f>+SUM('Constant prices, current border'!B132:I132)</f>
        <v>744.91798986760773</v>
      </c>
      <c r="K132" s="21"/>
      <c r="L132" s="21">
        <f>+SUM('Constant prices, current border'!L132:S132)</f>
        <v>546.21109229717217</v>
      </c>
      <c r="M132" s="21"/>
      <c r="N132" s="21">
        <f>+SUM('Constant prices, 1913 borders'!B132:I132)</f>
        <v>744.91798986760773</v>
      </c>
      <c r="O132" s="21"/>
      <c r="P132" s="21">
        <f>+SUM('Constant prices, 1913 borders'!L132:S132)</f>
        <v>546.21109229717217</v>
      </c>
      <c r="R132" s="5"/>
      <c r="S132" s="20">
        <f>+COUNT('Current prices, current borders'!B132:I132)</f>
        <v>5</v>
      </c>
      <c r="T132" s="20">
        <f>+COUNT('Current prices, current borders'!L132:S132)</f>
        <v>5</v>
      </c>
      <c r="U132" s="20"/>
      <c r="V132" s="20">
        <f>+COUNT('Current prices, 1913 borders'!B132:I132)</f>
        <v>5</v>
      </c>
      <c r="W132" s="20">
        <f>+COUNT('Current prices, 1913 borders'!L132:S132)</f>
        <v>5</v>
      </c>
      <c r="X132" s="20"/>
      <c r="Y132" s="20">
        <f>+COUNT('Constant prices, current border'!B132:I132)</f>
        <v>5</v>
      </c>
      <c r="Z132" s="20">
        <f>+COUNT('Constant prices, current border'!L132:S132)</f>
        <v>5</v>
      </c>
      <c r="AA132" s="20"/>
      <c r="AB132" s="20">
        <f>+COUNT('Constant prices, 1913 borders'!B132:I132)</f>
        <v>5</v>
      </c>
      <c r="AC132" s="20">
        <f>+COUNT('Constant prices, 1913 borders'!L132:S132)</f>
        <v>5</v>
      </c>
    </row>
    <row r="133" spans="1:29" x14ac:dyDescent="0.25">
      <c r="A133">
        <v>1926</v>
      </c>
      <c r="B133" s="21">
        <f>+SUM('Current prices, current borders'!B133:I133)</f>
        <v>931.69928569446324</v>
      </c>
      <c r="C133" s="21"/>
      <c r="D133" s="21">
        <f>+SUM('Current prices, current borders'!L133:S133)</f>
        <v>1003.1073453996542</v>
      </c>
      <c r="E133" s="21"/>
      <c r="F133" s="21">
        <f>+SUM('Current prices, 1913 borders'!B133:I133)</f>
        <v>931.69928569446324</v>
      </c>
      <c r="G133" s="21"/>
      <c r="H133" s="21">
        <f>+SUM('Current prices, 1913 borders'!L133:S133)</f>
        <v>1003.1073453996542</v>
      </c>
      <c r="I133" s="21"/>
      <c r="J133" s="21">
        <f>+SUM('Constant prices, current border'!B133:I133)</f>
        <v>702.93064151171484</v>
      </c>
      <c r="K133" s="21"/>
      <c r="L133" s="21">
        <f>+SUM('Constant prices, current border'!L133:S133)</f>
        <v>649.26100418161673</v>
      </c>
      <c r="M133" s="21"/>
      <c r="N133" s="21">
        <f>+SUM('Constant prices, 1913 borders'!B133:I133)</f>
        <v>702.93064151171484</v>
      </c>
      <c r="O133" s="21"/>
      <c r="P133" s="21">
        <f>+SUM('Constant prices, 1913 borders'!L133:S133)</f>
        <v>649.26100418161673</v>
      </c>
      <c r="R133" s="5"/>
      <c r="S133" s="20">
        <f>+COUNT('Current prices, current borders'!B133:I133)</f>
        <v>5</v>
      </c>
      <c r="T133" s="20">
        <f>+COUNT('Current prices, current borders'!L133:S133)</f>
        <v>5</v>
      </c>
      <c r="U133" s="20"/>
      <c r="V133" s="20">
        <f>+COUNT('Current prices, 1913 borders'!B133:I133)</f>
        <v>5</v>
      </c>
      <c r="W133" s="20">
        <f>+COUNT('Current prices, 1913 borders'!L133:S133)</f>
        <v>5</v>
      </c>
      <c r="X133" s="20"/>
      <c r="Y133" s="20">
        <f>+COUNT('Constant prices, current border'!B133:I133)</f>
        <v>5</v>
      </c>
      <c r="Z133" s="20">
        <f>+COUNT('Constant prices, current border'!L133:S133)</f>
        <v>5</v>
      </c>
      <c r="AA133" s="20"/>
      <c r="AB133" s="20">
        <f>+COUNT('Constant prices, 1913 borders'!B133:I133)</f>
        <v>5</v>
      </c>
      <c r="AC133" s="20">
        <f>+COUNT('Constant prices, 1913 borders'!L133:S133)</f>
        <v>5</v>
      </c>
    </row>
    <row r="134" spans="1:29" x14ac:dyDescent="0.25">
      <c r="A134">
        <v>1927</v>
      </c>
      <c r="B134" s="21">
        <f>+SUM('Current prices, current borders'!B134:I134)</f>
        <v>897.02763095774935</v>
      </c>
      <c r="C134" s="21"/>
      <c r="D134" s="21">
        <f>+SUM('Current prices, current borders'!L134:S134)</f>
        <v>1011.1873254009533</v>
      </c>
      <c r="E134" s="21"/>
      <c r="F134" s="21">
        <f>+SUM('Current prices, 1913 borders'!B134:I134)</f>
        <v>897.02763095774935</v>
      </c>
      <c r="G134" s="21"/>
      <c r="H134" s="21">
        <f>+SUM('Current prices, 1913 borders'!L134:S134)</f>
        <v>1011.1873254009533</v>
      </c>
      <c r="I134" s="21"/>
      <c r="J134" s="21">
        <f>+SUM('Constant prices, current border'!B134:I134)</f>
        <v>677.45851187670769</v>
      </c>
      <c r="K134" s="21"/>
      <c r="L134" s="21">
        <f>+SUM('Constant prices, current border'!L134:S134)</f>
        <v>650.49479708890544</v>
      </c>
      <c r="M134" s="21"/>
      <c r="N134" s="21">
        <f>+SUM('Constant prices, 1913 borders'!B134:I134)</f>
        <v>677.45851187670769</v>
      </c>
      <c r="O134" s="21"/>
      <c r="P134" s="21">
        <f>+SUM('Constant prices, 1913 borders'!L134:S134)</f>
        <v>650.49479708890544</v>
      </c>
      <c r="R134" s="5"/>
      <c r="S134" s="20">
        <f>+COUNT('Current prices, current borders'!B134:I134)</f>
        <v>5</v>
      </c>
      <c r="T134" s="20">
        <f>+COUNT('Current prices, current borders'!L134:S134)</f>
        <v>5</v>
      </c>
      <c r="U134" s="20"/>
      <c r="V134" s="20">
        <f>+COUNT('Current prices, 1913 borders'!B134:I134)</f>
        <v>5</v>
      </c>
      <c r="W134" s="20">
        <f>+COUNT('Current prices, 1913 borders'!L134:S134)</f>
        <v>5</v>
      </c>
      <c r="X134" s="20"/>
      <c r="Y134" s="20">
        <f>+COUNT('Constant prices, current border'!B134:I134)</f>
        <v>5</v>
      </c>
      <c r="Z134" s="20">
        <f>+COUNT('Constant prices, current border'!L134:S134)</f>
        <v>5</v>
      </c>
      <c r="AA134" s="20"/>
      <c r="AB134" s="20">
        <f>+COUNT('Constant prices, 1913 borders'!B134:I134)</f>
        <v>5</v>
      </c>
      <c r="AC134" s="20">
        <f>+COUNT('Constant prices, 1913 borders'!L134:S134)</f>
        <v>5</v>
      </c>
    </row>
    <row r="135" spans="1:29" x14ac:dyDescent="0.25">
      <c r="A135">
        <v>1928</v>
      </c>
      <c r="B135" s="21">
        <f>+SUM('Current prices, current borders'!B135:I135)</f>
        <v>907.41589141476084</v>
      </c>
      <c r="C135" s="21"/>
      <c r="D135" s="21">
        <f>+SUM('Current prices, current borders'!L135:S135)</f>
        <v>1020.6341012149105</v>
      </c>
      <c r="E135" s="21"/>
      <c r="F135" s="21">
        <f>+SUM('Current prices, 1913 borders'!B135:I135)</f>
        <v>907.41589141476084</v>
      </c>
      <c r="G135" s="21"/>
      <c r="H135" s="21">
        <f>+SUM('Current prices, 1913 borders'!L135:S135)</f>
        <v>1020.6341012149105</v>
      </c>
      <c r="I135" s="21"/>
      <c r="J135" s="21">
        <f>+SUM('Constant prices, current border'!B135:I135)</f>
        <v>704.86880663392299</v>
      </c>
      <c r="K135" s="21"/>
      <c r="L135" s="21">
        <f>+SUM('Constant prices, current border'!L135:S135)</f>
        <v>651.29276179031126</v>
      </c>
      <c r="M135" s="21"/>
      <c r="N135" s="21">
        <f>+SUM('Constant prices, 1913 borders'!B135:I135)</f>
        <v>704.86880663392299</v>
      </c>
      <c r="O135" s="21"/>
      <c r="P135" s="21">
        <f>+SUM('Constant prices, 1913 borders'!L135:S135)</f>
        <v>651.29276179031126</v>
      </c>
      <c r="R135" s="5"/>
      <c r="S135" s="20">
        <f>+COUNT('Current prices, current borders'!B135:I135)</f>
        <v>5</v>
      </c>
      <c r="T135" s="20">
        <f>+COUNT('Current prices, current borders'!L135:S135)</f>
        <v>5</v>
      </c>
      <c r="U135" s="20"/>
      <c r="V135" s="20">
        <f>+COUNT('Current prices, 1913 borders'!B135:I135)</f>
        <v>5</v>
      </c>
      <c r="W135" s="20">
        <f>+COUNT('Current prices, 1913 borders'!L135:S135)</f>
        <v>5</v>
      </c>
      <c r="X135" s="20"/>
      <c r="Y135" s="20">
        <f>+COUNT('Constant prices, current border'!B135:I135)</f>
        <v>5</v>
      </c>
      <c r="Z135" s="20">
        <f>+COUNT('Constant prices, current border'!L135:S135)</f>
        <v>5</v>
      </c>
      <c r="AA135" s="20"/>
      <c r="AB135" s="20">
        <f>+COUNT('Constant prices, 1913 borders'!B135:I135)</f>
        <v>5</v>
      </c>
      <c r="AC135" s="20">
        <f>+COUNT('Constant prices, 1913 borders'!L135:S135)</f>
        <v>5</v>
      </c>
    </row>
    <row r="136" spans="1:29" x14ac:dyDescent="0.25">
      <c r="A136">
        <v>1929</v>
      </c>
      <c r="B136" s="21">
        <f>+SUM('Current prices, current borders'!B136:I136)</f>
        <v>823.6382383715337</v>
      </c>
      <c r="C136" s="21"/>
      <c r="D136" s="21">
        <f>+SUM('Current prices, current borders'!L136:S136)</f>
        <v>988.03600085892685</v>
      </c>
      <c r="E136" s="21"/>
      <c r="F136" s="21">
        <f>+SUM('Current prices, 1913 borders'!B136:I136)</f>
        <v>823.6382383715337</v>
      </c>
      <c r="G136" s="21"/>
      <c r="H136" s="21">
        <f>+SUM('Current prices, 1913 borders'!L136:S136)</f>
        <v>988.03600085892685</v>
      </c>
      <c r="I136" s="21"/>
      <c r="J136" s="21">
        <f>+SUM('Constant prices, current border'!B136:I136)</f>
        <v>667.91747061851652</v>
      </c>
      <c r="K136" s="21"/>
      <c r="L136" s="21">
        <f>+SUM('Constant prices, current border'!L136:S136)</f>
        <v>707.25381022693955</v>
      </c>
      <c r="M136" s="21"/>
      <c r="N136" s="21">
        <f>+SUM('Constant prices, 1913 borders'!B136:I136)</f>
        <v>667.91747061851652</v>
      </c>
      <c r="O136" s="21"/>
      <c r="P136" s="21">
        <f>+SUM('Constant prices, 1913 borders'!L136:S136)</f>
        <v>707.25381022693955</v>
      </c>
      <c r="R136" s="5"/>
      <c r="S136" s="20">
        <f>+COUNT('Current prices, current borders'!B136:I136)</f>
        <v>5</v>
      </c>
      <c r="T136" s="20">
        <f>+COUNT('Current prices, current borders'!L136:S136)</f>
        <v>5</v>
      </c>
      <c r="U136" s="20"/>
      <c r="V136" s="20">
        <f>+COUNT('Current prices, 1913 borders'!B136:I136)</f>
        <v>5</v>
      </c>
      <c r="W136" s="20">
        <f>+COUNT('Current prices, 1913 borders'!L136:S136)</f>
        <v>5</v>
      </c>
      <c r="X136" s="20"/>
      <c r="Y136" s="20">
        <f>+COUNT('Constant prices, current border'!B136:I136)</f>
        <v>5</v>
      </c>
      <c r="Z136" s="20">
        <f>+COUNT('Constant prices, current border'!L136:S136)</f>
        <v>5</v>
      </c>
      <c r="AA136" s="20"/>
      <c r="AB136" s="20">
        <f>+COUNT('Constant prices, 1913 borders'!B136:I136)</f>
        <v>5</v>
      </c>
      <c r="AC136" s="20">
        <f>+COUNT('Constant prices, 1913 borders'!L136:S136)</f>
        <v>5</v>
      </c>
    </row>
    <row r="137" spans="1:29" x14ac:dyDescent="0.25">
      <c r="A137">
        <v>1930</v>
      </c>
      <c r="B137" s="21">
        <f>+SUM('Current prices, current borders'!B137:I137)</f>
        <v>656.31192353156416</v>
      </c>
      <c r="C137" s="21"/>
      <c r="D137" s="21">
        <f>+SUM('Current prices, current borders'!L137:S137)</f>
        <v>697.45686055833971</v>
      </c>
      <c r="E137" s="21"/>
      <c r="F137" s="21">
        <f>+SUM('Current prices, 1913 borders'!B137:I137)</f>
        <v>656.31192353156416</v>
      </c>
      <c r="G137" s="21"/>
      <c r="H137" s="21">
        <f>+SUM('Current prices, 1913 borders'!L137:S137)</f>
        <v>697.45686055833971</v>
      </c>
      <c r="I137" s="21"/>
      <c r="J137" s="21">
        <f>+SUM('Constant prices, current border'!B137:I137)</f>
        <v>590.70813841382392</v>
      </c>
      <c r="K137" s="21"/>
      <c r="L137" s="21">
        <f>+SUM('Constant prices, current border'!L137:S137)</f>
        <v>680.14906338706544</v>
      </c>
      <c r="M137" s="21"/>
      <c r="N137" s="21">
        <f>+SUM('Constant prices, 1913 borders'!B137:I137)</f>
        <v>590.70813841382392</v>
      </c>
      <c r="O137" s="21"/>
      <c r="P137" s="21">
        <f>+SUM('Constant prices, 1913 borders'!L137:S137)</f>
        <v>680.14906338706544</v>
      </c>
      <c r="R137" s="5"/>
      <c r="S137" s="20">
        <f>+COUNT('Current prices, current borders'!B137:I137)</f>
        <v>5</v>
      </c>
      <c r="T137" s="20">
        <f>+COUNT('Current prices, current borders'!L137:S137)</f>
        <v>5</v>
      </c>
      <c r="U137" s="20"/>
      <c r="V137" s="20">
        <f>+COUNT('Current prices, 1913 borders'!B137:I137)</f>
        <v>5</v>
      </c>
      <c r="W137" s="20">
        <f>+COUNT('Current prices, 1913 borders'!L137:S137)</f>
        <v>5</v>
      </c>
      <c r="X137" s="20"/>
      <c r="Y137" s="20">
        <f>+COUNT('Constant prices, current border'!B137:I137)</f>
        <v>5</v>
      </c>
      <c r="Z137" s="20">
        <f>+COUNT('Constant prices, current border'!L137:S137)</f>
        <v>5</v>
      </c>
      <c r="AA137" s="20"/>
      <c r="AB137" s="20">
        <f>+COUNT('Constant prices, 1913 borders'!B137:I137)</f>
        <v>5</v>
      </c>
      <c r="AC137" s="20">
        <f>+COUNT('Constant prices, 1913 borders'!L137:S137)</f>
        <v>5</v>
      </c>
    </row>
    <row r="138" spans="1:29" x14ac:dyDescent="0.25">
      <c r="A138">
        <v>1931</v>
      </c>
      <c r="B138" s="21">
        <f>+SUM('Current prices, current borders'!B138:I138)</f>
        <v>379.46722770049871</v>
      </c>
      <c r="C138" s="21"/>
      <c r="D138" s="21">
        <f>+SUM('Current prices, current borders'!L138:S138)</f>
        <v>332.26437603118734</v>
      </c>
      <c r="E138" s="21"/>
      <c r="F138" s="21">
        <f>+SUM('Current prices, 1913 borders'!B138:I138)</f>
        <v>379.46722770049871</v>
      </c>
      <c r="G138" s="21"/>
      <c r="H138" s="21">
        <f>+SUM('Current prices, 1913 borders'!L138:S138)</f>
        <v>332.26437603118734</v>
      </c>
      <c r="I138" s="21"/>
      <c r="J138" s="21">
        <f>+SUM('Constant prices, current border'!B138:I138)</f>
        <v>496.94137624142854</v>
      </c>
      <c r="K138" s="21"/>
      <c r="L138" s="21">
        <f>+SUM('Constant prices, current border'!L138:S138)</f>
        <v>546.64235636549586</v>
      </c>
      <c r="M138" s="21"/>
      <c r="N138" s="21">
        <f>+SUM('Constant prices, 1913 borders'!B138:I138)</f>
        <v>496.94137624142854</v>
      </c>
      <c r="O138" s="21"/>
      <c r="P138" s="21">
        <f>+SUM('Constant prices, 1913 borders'!L138:S138)</f>
        <v>546.64235636549586</v>
      </c>
      <c r="R138" s="5"/>
      <c r="S138" s="20">
        <f>+COUNT('Current prices, current borders'!B138:I138)</f>
        <v>5</v>
      </c>
      <c r="T138" s="20">
        <f>+COUNT('Current prices, current borders'!L138:S138)</f>
        <v>5</v>
      </c>
      <c r="U138" s="20"/>
      <c r="V138" s="20">
        <f>+COUNT('Current prices, 1913 borders'!B138:I138)</f>
        <v>5</v>
      </c>
      <c r="W138" s="20">
        <f>+COUNT('Current prices, 1913 borders'!L138:S138)</f>
        <v>5</v>
      </c>
      <c r="X138" s="20"/>
      <c r="Y138" s="20">
        <f>+COUNT('Constant prices, current border'!B138:I138)</f>
        <v>5</v>
      </c>
      <c r="Z138" s="20">
        <f>+COUNT('Constant prices, current border'!L138:S138)</f>
        <v>5</v>
      </c>
      <c r="AA138" s="20"/>
      <c r="AB138" s="20">
        <f>+COUNT('Constant prices, 1913 borders'!B138:I138)</f>
        <v>5</v>
      </c>
      <c r="AC138" s="20">
        <f>+COUNT('Constant prices, 1913 borders'!L138:S138)</f>
        <v>5</v>
      </c>
    </row>
    <row r="139" spans="1:29" x14ac:dyDescent="0.25">
      <c r="A139">
        <v>1932</v>
      </c>
      <c r="B139" s="21">
        <f>+SUM('Current prices, current borders'!B139:I139)</f>
        <v>357.71326822221721</v>
      </c>
      <c r="C139" s="21"/>
      <c r="D139" s="21">
        <f>+SUM('Current prices, current borders'!L139:S139)</f>
        <v>302.40733593116278</v>
      </c>
      <c r="E139" s="21"/>
      <c r="F139" s="21">
        <f>+SUM('Current prices, 1913 borders'!B139:I139)</f>
        <v>357.71326822221721</v>
      </c>
      <c r="G139" s="21"/>
      <c r="H139" s="21">
        <f>+SUM('Current prices, 1913 borders'!L139:S139)</f>
        <v>302.40733593116278</v>
      </c>
      <c r="I139" s="21"/>
      <c r="J139" s="21">
        <f>+SUM('Constant prices, current border'!B139:I139)</f>
        <v>509.10323438277334</v>
      </c>
      <c r="K139" s="21"/>
      <c r="L139" s="21">
        <f>+SUM('Constant prices, current border'!L139:S139)</f>
        <v>581.75066069543061</v>
      </c>
      <c r="M139" s="21"/>
      <c r="N139" s="21">
        <f>+SUM('Constant prices, 1913 borders'!B139:I139)</f>
        <v>509.10323438277334</v>
      </c>
      <c r="O139" s="21"/>
      <c r="P139" s="21">
        <f>+SUM('Constant prices, 1913 borders'!L139:S139)</f>
        <v>581.75066069543061</v>
      </c>
      <c r="R139" s="5"/>
      <c r="S139" s="20">
        <f>+COUNT('Current prices, current borders'!B139:I139)</f>
        <v>5</v>
      </c>
      <c r="T139" s="20">
        <f>+COUNT('Current prices, current borders'!L139:S139)</f>
        <v>5</v>
      </c>
      <c r="U139" s="20"/>
      <c r="V139" s="20">
        <f>+COUNT('Current prices, 1913 borders'!B139:I139)</f>
        <v>5</v>
      </c>
      <c r="W139" s="20">
        <f>+COUNT('Current prices, 1913 borders'!L139:S139)</f>
        <v>5</v>
      </c>
      <c r="X139" s="20"/>
      <c r="Y139" s="20">
        <f>+COUNT('Constant prices, current border'!B139:I139)</f>
        <v>5</v>
      </c>
      <c r="Z139" s="20">
        <f>+COUNT('Constant prices, current border'!L139:S139)</f>
        <v>5</v>
      </c>
      <c r="AA139" s="20"/>
      <c r="AB139" s="20">
        <f>+COUNT('Constant prices, 1913 borders'!B139:I139)</f>
        <v>5</v>
      </c>
      <c r="AC139" s="20">
        <f>+COUNT('Constant prices, 1913 borders'!L139:S139)</f>
        <v>5</v>
      </c>
    </row>
    <row r="140" spans="1:29" x14ac:dyDescent="0.25">
      <c r="A140">
        <v>1933</v>
      </c>
      <c r="B140" s="21">
        <f>+SUM('Current prices, current borders'!B140:I140)</f>
        <v>559.13992388388112</v>
      </c>
      <c r="C140" s="21"/>
      <c r="D140" s="21">
        <f>+SUM('Current prices, current borders'!L140:S140)</f>
        <v>477.11092689586451</v>
      </c>
      <c r="E140" s="21"/>
      <c r="F140" s="21">
        <f>+SUM('Current prices, 1913 borders'!B140:I140)</f>
        <v>559.13992388388112</v>
      </c>
      <c r="G140" s="21"/>
      <c r="H140" s="21">
        <f>+SUM('Current prices, 1913 borders'!L140:S140)</f>
        <v>477.11092689586451</v>
      </c>
      <c r="I140" s="21"/>
      <c r="J140" s="21">
        <f>+SUM('Constant prices, current border'!B140:I140)</f>
        <v>569.35184182960279</v>
      </c>
      <c r="K140" s="21"/>
      <c r="L140" s="21">
        <f>+SUM('Constant prices, current border'!L140:S140)</f>
        <v>615.13814307834627</v>
      </c>
      <c r="M140" s="21"/>
      <c r="N140" s="21">
        <f>+SUM('Constant prices, 1913 borders'!B140:I140)</f>
        <v>569.35184182960279</v>
      </c>
      <c r="O140" s="21"/>
      <c r="P140" s="21">
        <f>+SUM('Constant prices, 1913 borders'!L140:S140)</f>
        <v>615.13814307834627</v>
      </c>
      <c r="R140" s="5"/>
      <c r="S140" s="20">
        <f>+COUNT('Current prices, current borders'!B140:I140)</f>
        <v>5</v>
      </c>
      <c r="T140" s="20">
        <f>+COUNT('Current prices, current borders'!L140:S140)</f>
        <v>5</v>
      </c>
      <c r="U140" s="20"/>
      <c r="V140" s="20">
        <f>+COUNT('Current prices, 1913 borders'!B140:I140)</f>
        <v>5</v>
      </c>
      <c r="W140" s="20">
        <f>+COUNT('Current prices, 1913 borders'!L140:S140)</f>
        <v>5</v>
      </c>
      <c r="X140" s="20"/>
      <c r="Y140" s="20">
        <f>+COUNT('Constant prices, current border'!B140:I140)</f>
        <v>5</v>
      </c>
      <c r="Z140" s="20">
        <f>+COUNT('Constant prices, current border'!L140:S140)</f>
        <v>5</v>
      </c>
      <c r="AA140" s="20"/>
      <c r="AB140" s="20">
        <f>+COUNT('Constant prices, 1913 borders'!B140:I140)</f>
        <v>5</v>
      </c>
      <c r="AC140" s="20">
        <f>+COUNT('Constant prices, 1913 borders'!L140:S140)</f>
        <v>5</v>
      </c>
    </row>
    <row r="141" spans="1:29" x14ac:dyDescent="0.25">
      <c r="A141">
        <v>1934</v>
      </c>
      <c r="B141" s="21">
        <f>+SUM('Current prices, current borders'!B141:I141)</f>
        <v>604.19085463117153</v>
      </c>
      <c r="C141" s="21"/>
      <c r="D141" s="21">
        <f>+SUM('Current prices, current borders'!L141:S141)</f>
        <v>572.12928240910423</v>
      </c>
      <c r="E141" s="21"/>
      <c r="F141" s="21">
        <f>+SUM('Current prices, 1913 borders'!B141:I141)</f>
        <v>604.19085463117153</v>
      </c>
      <c r="G141" s="21"/>
      <c r="H141" s="21">
        <f>+SUM('Current prices, 1913 borders'!L141:S141)</f>
        <v>572.12928240910423</v>
      </c>
      <c r="I141" s="21"/>
      <c r="J141" s="21">
        <f>+SUM('Constant prices, current border'!B141:I141)</f>
        <v>616.87546965484773</v>
      </c>
      <c r="K141" s="21"/>
      <c r="L141" s="21">
        <f>+SUM('Constant prices, current border'!L141:S141)</f>
        <v>629.63310622044185</v>
      </c>
      <c r="M141" s="21"/>
      <c r="N141" s="21">
        <f>+SUM('Constant prices, 1913 borders'!B141:I141)</f>
        <v>616.87546965484773</v>
      </c>
      <c r="O141" s="21"/>
      <c r="P141" s="21">
        <f>+SUM('Constant prices, 1913 borders'!L141:S141)</f>
        <v>629.63310622044185</v>
      </c>
      <c r="R141" s="5"/>
      <c r="S141" s="20">
        <f>+COUNT('Current prices, current borders'!B141:I141)</f>
        <v>5</v>
      </c>
      <c r="T141" s="20">
        <f>+COUNT('Current prices, current borders'!L141:S141)</f>
        <v>5</v>
      </c>
      <c r="U141" s="20"/>
      <c r="V141" s="20">
        <f>+COUNT('Current prices, 1913 borders'!B141:I141)</f>
        <v>5</v>
      </c>
      <c r="W141" s="20">
        <f>+COUNT('Current prices, 1913 borders'!L141:S141)</f>
        <v>5</v>
      </c>
      <c r="X141" s="20"/>
      <c r="Y141" s="20">
        <f>+COUNT('Constant prices, current border'!B141:I141)</f>
        <v>5</v>
      </c>
      <c r="Z141" s="20">
        <f>+COUNT('Constant prices, current border'!L141:S141)</f>
        <v>5</v>
      </c>
      <c r="AA141" s="20"/>
      <c r="AB141" s="20">
        <f>+COUNT('Constant prices, 1913 borders'!B141:I141)</f>
        <v>5</v>
      </c>
      <c r="AC141" s="20">
        <f>+COUNT('Constant prices, 1913 borders'!L141:S141)</f>
        <v>5</v>
      </c>
    </row>
    <row r="142" spans="1:29" x14ac:dyDescent="0.25">
      <c r="A142">
        <v>1935</v>
      </c>
      <c r="B142" s="21">
        <f>+SUM('Current prices, current borders'!B142:I142)</f>
        <v>645.50567661226034</v>
      </c>
      <c r="C142" s="21"/>
      <c r="D142" s="21">
        <f>+SUM('Current prices, current borders'!L142:S142)</f>
        <v>622.58543901025314</v>
      </c>
      <c r="E142" s="21"/>
      <c r="F142" s="21">
        <f>+SUM('Current prices, 1913 borders'!B142:I142)</f>
        <v>645.50567661226034</v>
      </c>
      <c r="G142" s="21"/>
      <c r="H142" s="21">
        <f>+SUM('Current prices, 1913 borders'!L142:S142)</f>
        <v>622.58543901025314</v>
      </c>
      <c r="I142" s="21"/>
      <c r="J142" s="21">
        <f>+SUM('Constant prices, current border'!B142:I142)</f>
        <v>665.96000834555048</v>
      </c>
      <c r="K142" s="21"/>
      <c r="L142" s="21">
        <f>+SUM('Constant prices, current border'!L142:S142)</f>
        <v>699.64041015241071</v>
      </c>
      <c r="M142" s="21"/>
      <c r="N142" s="21">
        <f>+SUM('Constant prices, 1913 borders'!B142:I142)</f>
        <v>665.96000834555048</v>
      </c>
      <c r="O142" s="21"/>
      <c r="P142" s="21">
        <f>+SUM('Constant prices, 1913 borders'!L142:S142)</f>
        <v>699.64041015241071</v>
      </c>
      <c r="R142" s="5"/>
      <c r="S142" s="20">
        <f>+COUNT('Current prices, current borders'!B142:I142)</f>
        <v>5</v>
      </c>
      <c r="T142" s="20">
        <f>+COUNT('Current prices, current borders'!L142:S142)</f>
        <v>5</v>
      </c>
      <c r="U142" s="20"/>
      <c r="V142" s="20">
        <f>+COUNT('Current prices, 1913 borders'!B142:I142)</f>
        <v>5</v>
      </c>
      <c r="W142" s="20">
        <f>+COUNT('Current prices, 1913 borders'!L142:S142)</f>
        <v>5</v>
      </c>
      <c r="X142" s="20"/>
      <c r="Y142" s="20">
        <f>+COUNT('Constant prices, current border'!B142:I142)</f>
        <v>5</v>
      </c>
      <c r="Z142" s="20">
        <f>+COUNT('Constant prices, current border'!L142:S142)</f>
        <v>5</v>
      </c>
      <c r="AA142" s="20"/>
      <c r="AB142" s="20">
        <f>+COUNT('Constant prices, 1913 borders'!B142:I142)</f>
        <v>5</v>
      </c>
      <c r="AC142" s="20">
        <f>+COUNT('Constant prices, 1913 borders'!L142:S142)</f>
        <v>5</v>
      </c>
    </row>
    <row r="143" spans="1:29" x14ac:dyDescent="0.25">
      <c r="A143">
        <v>1936</v>
      </c>
      <c r="B143" s="21">
        <f>+SUM('Current prices, current borders'!B143:I143)</f>
        <v>777.96331669738754</v>
      </c>
      <c r="C143" s="21"/>
      <c r="D143" s="21">
        <f>+SUM('Current prices, current borders'!L143:S143)</f>
        <v>725.91854424193389</v>
      </c>
      <c r="E143" s="21"/>
      <c r="F143" s="21">
        <f>+SUM('Current prices, 1913 borders'!B143:I143)</f>
        <v>777.96331669738754</v>
      </c>
      <c r="G143" s="21"/>
      <c r="H143" s="21">
        <f>+SUM('Current prices, 1913 borders'!L143:S143)</f>
        <v>725.91854424193389</v>
      </c>
      <c r="I143" s="21"/>
      <c r="J143" s="21">
        <f>+SUM('Constant prices, current border'!B143:I143)</f>
        <v>774.5886471561796</v>
      </c>
      <c r="K143" s="21"/>
      <c r="L143" s="21">
        <f>+SUM('Constant prices, current border'!L143:S143)</f>
        <v>682.5837752681083</v>
      </c>
      <c r="M143" s="21"/>
      <c r="N143" s="21">
        <f>+SUM('Constant prices, 1913 borders'!B143:I143)</f>
        <v>774.5886471561796</v>
      </c>
      <c r="O143" s="21"/>
      <c r="P143" s="21">
        <f>+SUM('Constant prices, 1913 borders'!L143:S143)</f>
        <v>682.5837752681083</v>
      </c>
      <c r="R143" s="5"/>
      <c r="S143" s="20">
        <f>+COUNT('Current prices, current borders'!B143:I143)</f>
        <v>5</v>
      </c>
      <c r="T143" s="20">
        <f>+COUNT('Current prices, current borders'!L143:S143)</f>
        <v>5</v>
      </c>
      <c r="U143" s="20"/>
      <c r="V143" s="20">
        <f>+COUNT('Current prices, 1913 borders'!B143:I143)</f>
        <v>5</v>
      </c>
      <c r="W143" s="20">
        <f>+COUNT('Current prices, 1913 borders'!L143:S143)</f>
        <v>5</v>
      </c>
      <c r="X143" s="20"/>
      <c r="Y143" s="20">
        <f>+COUNT('Constant prices, current border'!B143:I143)</f>
        <v>5</v>
      </c>
      <c r="Z143" s="20">
        <f>+COUNT('Constant prices, current border'!L143:S143)</f>
        <v>5</v>
      </c>
      <c r="AA143" s="20"/>
      <c r="AB143" s="20">
        <f>+COUNT('Constant prices, 1913 borders'!B143:I143)</f>
        <v>5</v>
      </c>
      <c r="AC143" s="20">
        <f>+COUNT('Constant prices, 1913 borders'!L143:S143)</f>
        <v>5</v>
      </c>
    </row>
    <row r="144" spans="1:29" x14ac:dyDescent="0.25">
      <c r="A144">
        <v>1937</v>
      </c>
      <c r="B144" s="21">
        <f>+SUM('Current prices, current borders'!B144:I144)</f>
        <v>883.7807027283942</v>
      </c>
      <c r="C144" s="21"/>
      <c r="D144" s="21">
        <f>+SUM('Current prices, current borders'!L144:S144)</f>
        <v>866.09572390830169</v>
      </c>
      <c r="E144" s="21"/>
      <c r="F144" s="21">
        <f>+SUM('Current prices, 1913 borders'!B144:I144)</f>
        <v>883.7807027283942</v>
      </c>
      <c r="G144" s="21"/>
      <c r="H144" s="21">
        <f>+SUM('Current prices, 1913 borders'!L144:S144)</f>
        <v>866.09572390830169</v>
      </c>
      <c r="I144" s="21"/>
      <c r="J144" s="21">
        <f>+SUM('Constant prices, current border'!B144:I144)</f>
        <v>844.53708036870853</v>
      </c>
      <c r="K144" s="21"/>
      <c r="L144" s="21">
        <f>+SUM('Constant prices, current border'!L144:S144)</f>
        <v>744.52626917529415</v>
      </c>
      <c r="M144" s="21"/>
      <c r="N144" s="21">
        <f>+SUM('Constant prices, 1913 borders'!B144:I144)</f>
        <v>844.53708036870853</v>
      </c>
      <c r="O144" s="21"/>
      <c r="P144" s="21">
        <f>+SUM('Constant prices, 1913 borders'!L144:S144)</f>
        <v>744.52626917529415</v>
      </c>
      <c r="R144" s="3"/>
      <c r="S144" s="20">
        <f>+COUNT('Current prices, current borders'!B144:I144)</f>
        <v>5</v>
      </c>
      <c r="T144" s="20">
        <f>+COUNT('Current prices, current borders'!L144:S144)</f>
        <v>5</v>
      </c>
      <c r="U144" s="20"/>
      <c r="V144" s="20">
        <f>+COUNT('Current prices, 1913 borders'!B144:I144)</f>
        <v>5</v>
      </c>
      <c r="W144" s="20">
        <f>+COUNT('Current prices, 1913 borders'!L144:S144)</f>
        <v>5</v>
      </c>
      <c r="X144" s="20"/>
      <c r="Y144" s="20">
        <f>+COUNT('Constant prices, current border'!B144:I144)</f>
        <v>5</v>
      </c>
      <c r="Z144" s="20">
        <f>+COUNT('Constant prices, current border'!L144:S144)</f>
        <v>5</v>
      </c>
      <c r="AA144" s="20"/>
      <c r="AB144" s="20">
        <f>+COUNT('Constant prices, 1913 borders'!B144:I144)</f>
        <v>5</v>
      </c>
      <c r="AC144" s="20">
        <f>+COUNT('Constant prices, 1913 borders'!L144:S144)</f>
        <v>5</v>
      </c>
    </row>
    <row r="145" spans="1:29" x14ac:dyDescent="0.25">
      <c r="A145">
        <v>1938</v>
      </c>
      <c r="B145" s="21">
        <f>+SUM('Current prices, current borders'!B145:I145)</f>
        <v>789.00690476407749</v>
      </c>
      <c r="C145" s="21"/>
      <c r="D145" s="21">
        <f>+SUM('Current prices, current borders'!L145:S145)</f>
        <v>797.73646259164639</v>
      </c>
      <c r="E145" s="21"/>
      <c r="F145" s="21">
        <f>+SUM('Current prices, 1913 borders'!B145:I145)</f>
        <v>789.00690476407749</v>
      </c>
      <c r="G145" s="21"/>
      <c r="H145" s="21">
        <f>+SUM('Current prices, 1913 borders'!L145:S145)</f>
        <v>797.73646259164639</v>
      </c>
      <c r="I145" s="21"/>
      <c r="J145" s="21">
        <f>+SUM('Constant prices, current border'!B145:I145)</f>
        <v>785.62917374019707</v>
      </c>
      <c r="K145" s="21"/>
      <c r="L145" s="21">
        <f>+SUM('Constant prices, current border'!L145:S145)</f>
        <v>830.86177599028122</v>
      </c>
      <c r="M145" s="21"/>
      <c r="N145" s="21">
        <f>+SUM('Constant prices, 1913 borders'!B145:I145)</f>
        <v>785.62917374019707</v>
      </c>
      <c r="O145" s="21"/>
      <c r="P145" s="21">
        <f>+SUM('Constant prices, 1913 borders'!L145:S145)</f>
        <v>830.86177599028122</v>
      </c>
      <c r="R145" s="3"/>
      <c r="S145" s="20">
        <f>+COUNT('Current prices, current borders'!B145:I145)</f>
        <v>5</v>
      </c>
      <c r="T145" s="20">
        <f>+COUNT('Current prices, current borders'!L145:S145)</f>
        <v>5</v>
      </c>
      <c r="U145" s="20"/>
      <c r="V145" s="20">
        <f>+COUNT('Current prices, 1913 borders'!B145:I145)</f>
        <v>5</v>
      </c>
      <c r="W145" s="20">
        <f>+COUNT('Current prices, 1913 borders'!L145:S145)</f>
        <v>5</v>
      </c>
      <c r="X145" s="20"/>
      <c r="Y145" s="20">
        <f>+COUNT('Constant prices, current border'!B145:I145)</f>
        <v>5</v>
      </c>
      <c r="Z145" s="20">
        <f>+COUNT('Constant prices, current border'!L145:S145)</f>
        <v>5</v>
      </c>
      <c r="AA145" s="20"/>
      <c r="AB145" s="20">
        <f>+COUNT('Constant prices, 1913 borders'!B145:I145)</f>
        <v>5</v>
      </c>
      <c r="AC145" s="20">
        <f>+COUNT('Constant prices, 1913 borders'!L145:S145)</f>
        <v>5</v>
      </c>
    </row>
    <row r="146" spans="1:29" x14ac:dyDescent="0.25">
      <c r="L146" s="3"/>
    </row>
  </sheetData>
  <mergeCells count="3">
    <mergeCell ref="B1:P1"/>
    <mergeCell ref="B3:H3"/>
    <mergeCell ref="J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Current prices, current borders</vt:lpstr>
      <vt:lpstr>Current prices, 1913 borders</vt:lpstr>
      <vt:lpstr>Constant prices, current border</vt:lpstr>
      <vt:lpstr>Constant prices, 1913 borders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Federico-Tena World Trade Historical Database : Oceania</dc:title>
  <dc:creator>Federico - Tena</dc:creator>
  <cp:lastModifiedBy>xx</cp:lastModifiedBy>
  <dcterms:created xsi:type="dcterms:W3CDTF">2010-06-05T21:43:03Z</dcterms:created>
  <dcterms:modified xsi:type="dcterms:W3CDTF">2018-03-22T11:20:19Z</dcterms:modified>
</cp:coreProperties>
</file>